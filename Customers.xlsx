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yrysbaev/Documents/Websites/makro-route/"/>
    </mc:Choice>
  </mc:AlternateContent>
  <xr:revisionPtr revIDLastSave="0" documentId="8_{7C15C1C6-0096-B74F-BDB1-749179CE7507}" xr6:coauthVersionLast="47" xr6:coauthVersionMax="47" xr10:uidLastSave="{00000000-0000-0000-0000-000000000000}"/>
  <bookViews>
    <workbookView xWindow="0" yWindow="680" windowWidth="34200" windowHeight="21460" xr2:uid="{52332BE9-A126-CC46-B047-61E72F4E335D}"/>
  </bookViews>
  <sheets>
    <sheet name="Worksheet" sheetId="1" r:id="rId1"/>
    <sheet name="Sheet1" sheetId="2" r:id="rId2"/>
  </sheets>
  <definedNames>
    <definedName name="_xlnm._FilterDatabase" localSheetId="0" hidden="1">Worksheet!$A$1:$F$599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5" i="1" l="1"/>
  <c r="J426" i="1"/>
  <c r="J427" i="1"/>
  <c r="J428" i="1"/>
  <c r="J430" i="1"/>
  <c r="J431" i="1"/>
  <c r="J432" i="1"/>
  <c r="J433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16" i="1"/>
  <c r="J424" i="1"/>
  <c r="J423" i="1"/>
  <c r="L423" i="1" a="1"/>
  <c r="L423" i="1" s="1"/>
  <c r="K423" i="1" a="1"/>
  <c r="K423" i="1" s="1"/>
  <c r="N3" i="1" a="1"/>
  <c r="N3" i="1" s="1"/>
  <c r="N4" i="1" a="1"/>
  <c r="N4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2" i="1" a="1"/>
  <c r="N52" i="1" s="1"/>
  <c r="N53" i="1" a="1"/>
  <c r="N53" i="1" s="1"/>
  <c r="N54" i="1" a="1"/>
  <c r="N54" i="1" s="1"/>
  <c r="N55" i="1" a="1"/>
  <c r="N55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61" i="1" a="1"/>
  <c r="N61" i="1" s="1"/>
  <c r="N62" i="1" a="1"/>
  <c r="N62" i="1" s="1"/>
  <c r="N63" i="1" a="1"/>
  <c r="N63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85" i="1" a="1"/>
  <c r="N85" i="1" s="1"/>
  <c r="N86" i="1" a="1"/>
  <c r="N86" i="1" s="1"/>
  <c r="N87" i="1" a="1"/>
  <c r="N87" i="1" s="1"/>
  <c r="N88" i="1" a="1"/>
  <c r="N88" i="1" s="1"/>
  <c r="N89" i="1" a="1"/>
  <c r="N89" i="1" s="1"/>
  <c r="N90" i="1" a="1"/>
  <c r="N90" i="1" s="1"/>
  <c r="N91" i="1" a="1"/>
  <c r="N91" i="1" s="1"/>
  <c r="N92" i="1" a="1"/>
  <c r="N92" i="1" s="1"/>
  <c r="N93" i="1" a="1"/>
  <c r="N93" i="1" s="1"/>
  <c r="N94" i="1" a="1"/>
  <c r="N94" i="1" s="1"/>
  <c r="N95" i="1" a="1"/>
  <c r="N95" i="1" s="1"/>
  <c r="N96" i="1" a="1"/>
  <c r="N96" i="1" s="1"/>
  <c r="N97" i="1" a="1"/>
  <c r="N97" i="1" s="1"/>
  <c r="N98" i="1" a="1"/>
  <c r="N98" i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/>
  <c r="N113" i="1" a="1"/>
  <c r="N113" i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/>
  <c r="N186" i="1" a="1"/>
  <c r="N186" i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/>
  <c r="N239" i="1" a="1"/>
  <c r="N239" i="1" s="1"/>
  <c r="N240" i="1" a="1"/>
  <c r="N240" i="1"/>
  <c r="N241" i="1" a="1"/>
  <c r="N241" i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2" i="1" a="1"/>
  <c r="N342" i="1" s="1"/>
  <c r="N343" i="1" a="1"/>
  <c r="N343" i="1"/>
  <c r="N344" i="1" a="1"/>
  <c r="N344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N363" i="1" a="1"/>
  <c r="N363" i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6" i="1" a="1"/>
  <c r="N376" i="1" s="1"/>
  <c r="N377" i="1" a="1"/>
  <c r="N377" i="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7" i="1" a="1"/>
  <c r="N387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N397" i="1" a="1"/>
  <c r="N397" i="1" s="1"/>
  <c r="N398" i="1" a="1"/>
  <c r="N398" i="1" s="1"/>
  <c r="N399" i="1" a="1"/>
  <c r="N399" i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30" i="1" a="1"/>
  <c r="N430" i="1" s="1"/>
  <c r="N431" i="1" a="1"/>
  <c r="N431" i="1" s="1"/>
  <c r="N432" i="1" a="1"/>
  <c r="N432" i="1" s="1"/>
  <c r="N433" i="1" a="1"/>
  <c r="N433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16" i="1" a="1"/>
  <c r="N516" i="1" s="1"/>
  <c r="N2" i="1" a="1"/>
  <c r="N2" i="1" s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2" i="1"/>
  <c r="M343" i="1"/>
  <c r="M344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6" i="1"/>
  <c r="M377" i="1"/>
  <c r="M378" i="1"/>
  <c r="M379" i="1"/>
  <c r="M380" i="1"/>
  <c r="M381" i="1"/>
  <c r="M382" i="1"/>
  <c r="M383" i="1"/>
  <c r="M384" i="1"/>
  <c r="M385" i="1"/>
  <c r="M387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30" i="1"/>
  <c r="M431" i="1"/>
  <c r="M432" i="1"/>
  <c r="M433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1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" i="1"/>
  <c r="L28" i="1"/>
  <c r="L29" i="1"/>
  <c r="L30" i="1"/>
  <c r="L31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2" i="1"/>
  <c r="L63" i="1"/>
  <c r="L64" i="1"/>
  <c r="L65" i="1"/>
  <c r="L67" i="1"/>
  <c r="L68" i="1"/>
  <c r="L70" i="1"/>
  <c r="L72" i="1"/>
  <c r="L73" i="1"/>
  <c r="L74" i="1"/>
  <c r="L75" i="1"/>
  <c r="L76" i="1"/>
  <c r="L77" i="1"/>
  <c r="L78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1" i="1"/>
  <c r="L102" i="1"/>
  <c r="L103" i="1"/>
  <c r="L104" i="1"/>
  <c r="L105" i="1"/>
  <c r="L106" i="1"/>
  <c r="L107" i="1"/>
  <c r="L108" i="1"/>
  <c r="L109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1" i="1"/>
  <c r="L152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203" i="1"/>
  <c r="L20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9" i="1"/>
  <c r="L240" i="1"/>
  <c r="L242" i="1"/>
  <c r="L243" i="1"/>
  <c r="L244" i="1"/>
  <c r="L245" i="1"/>
  <c r="L246" i="1"/>
  <c r="L247" i="1"/>
  <c r="L248" i="1"/>
  <c r="L249" i="1"/>
  <c r="L250" i="1"/>
  <c r="L252" i="1"/>
  <c r="L253" i="1"/>
  <c r="L254" i="1"/>
  <c r="L255" i="1"/>
  <c r="L256" i="1"/>
  <c r="L257" i="1"/>
  <c r="L259" i="1"/>
  <c r="L260" i="1"/>
  <c r="L262" i="1"/>
  <c r="L264" i="1"/>
  <c r="L265" i="1"/>
  <c r="L266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10" i="1"/>
  <c r="L311" i="1"/>
  <c r="L312" i="1"/>
  <c r="L313" i="1"/>
  <c r="L314" i="1"/>
  <c r="L315" i="1"/>
  <c r="L316" i="1"/>
  <c r="L317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2" i="1"/>
  <c r="L343" i="1"/>
  <c r="L344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6" i="1"/>
  <c r="L367" i="1"/>
  <c r="L368" i="1"/>
  <c r="L369" i="1"/>
  <c r="L370" i="1"/>
  <c r="L371" i="1"/>
  <c r="L372" i="1"/>
  <c r="L373" i="1"/>
  <c r="L374" i="1"/>
  <c r="L376" i="1"/>
  <c r="L377" i="1"/>
  <c r="L378" i="1"/>
  <c r="L379" i="1"/>
  <c r="L380" i="1"/>
  <c r="L381" i="1"/>
  <c r="L382" i="1"/>
  <c r="L383" i="1"/>
  <c r="L384" i="1"/>
  <c r="L387" i="1"/>
  <c r="L389" i="1"/>
  <c r="L390" i="1"/>
  <c r="L391" i="1"/>
  <c r="L392" i="1"/>
  <c r="L393" i="1"/>
  <c r="L394" i="1"/>
  <c r="L395" i="1"/>
  <c r="L396" i="1"/>
  <c r="L398" i="1"/>
  <c r="L399" i="1"/>
  <c r="L401" i="1"/>
  <c r="L402" i="1"/>
  <c r="L403" i="1"/>
  <c r="L404" i="1"/>
  <c r="L405" i="1"/>
  <c r="L406" i="1"/>
  <c r="L407" i="1"/>
  <c r="L408" i="1"/>
  <c r="L409" i="1"/>
  <c r="L410" i="1"/>
  <c r="L411" i="1"/>
  <c r="L413" i="1"/>
  <c r="L414" i="1"/>
  <c r="L415" i="1"/>
  <c r="L416" i="1"/>
  <c r="L417" i="1"/>
  <c r="L418" i="1"/>
  <c r="L419" i="1"/>
  <c r="L420" i="1"/>
  <c r="L421" i="1"/>
  <c r="L422" i="1"/>
  <c r="L432" i="1"/>
  <c r="L479" i="1"/>
  <c r="L13" i="1"/>
  <c r="L14" i="1"/>
  <c r="L15" i="1"/>
  <c r="L16" i="1"/>
  <c r="L17" i="1"/>
  <c r="L18" i="1"/>
  <c r="L19" i="1"/>
  <c r="L21" i="1"/>
  <c r="L22" i="1"/>
  <c r="L23" i="1"/>
  <c r="L25" i="1"/>
  <c r="L26" i="1"/>
  <c r="L27" i="1"/>
  <c r="L3" i="1"/>
  <c r="L4" i="1"/>
  <c r="L5" i="1"/>
  <c r="L6" i="1"/>
  <c r="L7" i="1"/>
  <c r="L8" i="1"/>
  <c r="L9" i="1"/>
  <c r="L10" i="1"/>
  <c r="L11" i="1"/>
  <c r="L1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2" i="1"/>
  <c r="K343" i="1"/>
  <c r="K344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6" i="1"/>
  <c r="K377" i="1"/>
  <c r="K378" i="1"/>
  <c r="K379" i="1"/>
  <c r="K380" i="1"/>
  <c r="K381" i="1"/>
  <c r="K382" i="1"/>
  <c r="K383" i="1"/>
  <c r="K384" i="1"/>
  <c r="K385" i="1"/>
  <c r="K387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2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2" i="1"/>
  <c r="J343" i="1"/>
  <c r="J344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6" i="1"/>
  <c r="J377" i="1"/>
  <c r="J378" i="1"/>
  <c r="J379" i="1"/>
  <c r="J380" i="1"/>
  <c r="J381" i="1"/>
  <c r="J382" i="1"/>
  <c r="J383" i="1"/>
  <c r="J384" i="1"/>
  <c r="J385" i="1"/>
  <c r="J387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2" i="1"/>
  <c r="I343" i="1"/>
  <c r="I344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6" i="1"/>
  <c r="I377" i="1"/>
  <c r="I378" i="1"/>
  <c r="I379" i="1"/>
  <c r="I380" i="1"/>
  <c r="I381" i="1"/>
  <c r="I382" i="1"/>
  <c r="I383" i="1"/>
  <c r="I384" i="1"/>
  <c r="I385" i="1"/>
  <c r="I387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30" i="1"/>
  <c r="I431" i="1"/>
  <c r="I432" i="1"/>
  <c r="I433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16" i="1"/>
  <c r="I522" i="1"/>
  <c r="I523" i="1"/>
  <c r="I524" i="1"/>
  <c r="I525" i="1"/>
  <c r="I526" i="1"/>
  <c r="I527" i="1"/>
  <c r="I528" i="1"/>
  <c r="I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<sst xmlns="http://schemas.openxmlformats.org/spreadsheetml/2006/main" count="2873" uniqueCount="1407">
  <si>
    <t>Company name</t>
  </si>
  <si>
    <t>Street Address</t>
  </si>
  <si>
    <t>City</t>
  </si>
  <si>
    <t>State</t>
  </si>
  <si>
    <t>Country</t>
  </si>
  <si>
    <t>Zip</t>
  </si>
  <si>
    <t>101 DISTRIBUTORS GA LLC</t>
  </si>
  <si>
    <t>4721 Lewis Rd.</t>
  </si>
  <si>
    <t>Stone Mountain</t>
  </si>
  <si>
    <t>GA</t>
  </si>
  <si>
    <t>USA</t>
  </si>
  <si>
    <t>30083</t>
  </si>
  <si>
    <t>48 philly's</t>
  </si>
  <si>
    <t>913 w pioneer pkwy</t>
  </si>
  <si>
    <t>arlington</t>
  </si>
  <si>
    <t>tx</t>
  </si>
  <si>
    <t>76013</t>
  </si>
  <si>
    <t>2015 A AND B, LLC</t>
  </si>
  <si>
    <t>8026 KITTY HAWK RD</t>
  </si>
  <si>
    <t>CONVERSE</t>
  </si>
  <si>
    <t>TX</t>
  </si>
  <si>
    <t>78109</t>
  </si>
  <si>
    <t>AAA Wholesale Supply</t>
  </si>
  <si>
    <t>1260 powder plant road Bessemer</t>
  </si>
  <si>
    <t>Bessemer</t>
  </si>
  <si>
    <t>ALABAMA</t>
  </si>
  <si>
    <t>35022</t>
  </si>
  <si>
    <t>AAA Wholesale Supply (HOUSTON)</t>
  </si>
  <si>
    <t>5615 Savoy Dr Unit A</t>
  </si>
  <si>
    <t>Houston</t>
  </si>
  <si>
    <t>77036</t>
  </si>
  <si>
    <t>Ace Distributors llc</t>
  </si>
  <si>
    <t>1900 Premier row</t>
  </si>
  <si>
    <t>Orlando</t>
  </si>
  <si>
    <t>FL</t>
  </si>
  <si>
    <t>32809</t>
  </si>
  <si>
    <t>Robles Products</t>
  </si>
  <si>
    <t>1784 ELSA</t>
  </si>
  <si>
    <t>ELSA</t>
  </si>
  <si>
    <t>78543</t>
  </si>
  <si>
    <t>ALL GOOD EAT LLC</t>
  </si>
  <si>
    <t>14 water wheel ln</t>
  </si>
  <si>
    <t>EAston</t>
  </si>
  <si>
    <t>Pennsylvania</t>
  </si>
  <si>
    <t>18045</t>
  </si>
  <si>
    <t>Anka Foods</t>
  </si>
  <si>
    <t>123 Lehigh Dr Suite B</t>
  </si>
  <si>
    <t>Fairfield</t>
  </si>
  <si>
    <t>NJ</t>
  </si>
  <si>
    <t>07004</t>
  </si>
  <si>
    <t>Arkansas Culture and Dialog center</t>
  </si>
  <si>
    <t>1501 market street</t>
  </si>
  <si>
    <t>Little Rock</t>
  </si>
  <si>
    <t>AR</t>
  </si>
  <si>
    <t>72211</t>
  </si>
  <si>
    <t>Atlas foundation</t>
  </si>
  <si>
    <t>862 O'Neal Ln</t>
  </si>
  <si>
    <t>Baton Rouge</t>
  </si>
  <si>
    <t>LA</t>
  </si>
  <si>
    <t>70816</t>
  </si>
  <si>
    <t>ARWA Yemeni cafe Austine</t>
  </si>
  <si>
    <t>11331 N Lamar Blvd, Austin, TX</t>
  </si>
  <si>
    <t>Austine</t>
  </si>
  <si>
    <t>78753</t>
  </si>
  <si>
    <t>Austin Skyline Foundation</t>
  </si>
  <si>
    <t>2650 Gattis School Rd Ste 700</t>
  </si>
  <si>
    <t>Round Rock</t>
  </si>
  <si>
    <t>78664</t>
  </si>
  <si>
    <t>Chiyaya Bakery LLC</t>
  </si>
  <si>
    <t>1301 N A W Grimes Blvd
Apt:824</t>
  </si>
  <si>
    <t>78665</t>
  </si>
  <si>
    <t>Istanbul Market Atx</t>
  </si>
  <si>
    <t>1700 Bryant Dr Suite.102</t>
  </si>
  <si>
    <t>11905 Viscaya Way</t>
  </si>
  <si>
    <t>Austin</t>
  </si>
  <si>
    <t>78726</t>
  </si>
  <si>
    <t>Mealbux</t>
  </si>
  <si>
    <t>3301 Steck Ave STE 106</t>
  </si>
  <si>
    <t>78757</t>
  </si>
  <si>
    <t>Alamo City foods,Inc</t>
  </si>
  <si>
    <t>The Triangle, 4700 W Guadalupe St Suite#9, Austin, TX 78751</t>
  </si>
  <si>
    <t>TX 78751</t>
  </si>
  <si>
    <t>MISFOOD LLC (kebab7)</t>
  </si>
  <si>
    <t>920 NORTH VISTA RIDGE 
UNIT 550</t>
  </si>
  <si>
    <t>CEDAR PARK</t>
  </si>
  <si>
    <t>Olive and Fire LLC</t>
  </si>
  <si>
    <t>9400 hunter lane</t>
  </si>
  <si>
    <t>78748</t>
  </si>
  <si>
    <t>CONRAN LLC</t>
  </si>
  <si>
    <t>8325 osborne dr</t>
  </si>
  <si>
    <t>78729</t>
  </si>
  <si>
    <t>Raindrop Foundation Austin</t>
  </si>
  <si>
    <t>2650 Gattis School Rd Ste 700, Round Rock, TX 78664</t>
  </si>
  <si>
    <t>AUSTIN</t>
  </si>
  <si>
    <t>TOBA HOLDINGS LLC</t>
  </si>
  <si>
    <t>usa</t>
  </si>
  <si>
    <t>78</t>
  </si>
  <si>
    <t>DESI DISTRICT AUSTIN</t>
  </si>
  <si>
    <t>12301 W Parmer Ln, Unit 801 ,</t>
  </si>
  <si>
    <t>Cedar park</t>
  </si>
  <si>
    <t>Almarah Food - Austin</t>
  </si>
  <si>
    <t>12129 RR 620 N</t>
  </si>
  <si>
    <t>Texas</t>
  </si>
  <si>
    <t>78750</t>
  </si>
  <si>
    <t>Austin European Market</t>
  </si>
  <si>
    <t>601 E Whitestone Blvd Suite#512</t>
  </si>
  <si>
    <t>Cedar Park</t>
  </si>
  <si>
    <t>78613</t>
  </si>
  <si>
    <t>Diwan Hookah and Cafe LLC</t>
  </si>
  <si>
    <t>Service Road Sb, 11700 N Interstate Hwy 35 SVRD,</t>
  </si>
  <si>
    <t>Global foodland</t>
  </si>
  <si>
    <t>11501 Menchaca Rd</t>
  </si>
  <si>
    <t>Gyro Delicious Food Track</t>
  </si>
  <si>
    <t>Whitis Avenue</t>
  </si>
  <si>
    <t>78705</t>
  </si>
  <si>
    <t>Halal On Fire (Turhan food llc)</t>
  </si>
  <si>
    <t>13201 Pond Springs Rd, #103</t>
  </si>
  <si>
    <t>International  foods (Cozmo)</t>
  </si>
  <si>
    <t>11331 N Lamar Blvd, Austin, TX 78753</t>
  </si>
  <si>
    <t>International foods #2</t>
  </si>
  <si>
    <t>851 S bell blvd</t>
  </si>
  <si>
    <t>cedar park</t>
  </si>
  <si>
    <t>Manpasand Supermarket</t>
  </si>
  <si>
    <t>U.S. 183</t>
  </si>
  <si>
    <t>78717</t>
  </si>
  <si>
    <t>Phoenicia Bakery &amp; Deli -AUSTIN</t>
  </si>
  <si>
    <t>2912 S Lamar Blvd,</t>
  </si>
  <si>
    <t>78704</t>
  </si>
  <si>
    <t>Babahan uyghur cafe</t>
  </si>
  <si>
    <t>5306 depot dr</t>
  </si>
  <si>
    <t>sachse</t>
  </si>
  <si>
    <t>75048</t>
  </si>
  <si>
    <t>504 Manor View Dr Apt A</t>
  </si>
  <si>
    <t>Knoxville</t>
  </si>
  <si>
    <t>Tennessee</t>
  </si>
  <si>
    <t>37923</t>
  </si>
  <si>
    <t>Capital Sales Company</t>
  </si>
  <si>
    <t>1471 E. Nine Mile Rd</t>
  </si>
  <si>
    <t>Hazel Park</t>
  </si>
  <si>
    <t>MI</t>
  </si>
  <si>
    <t>48030</t>
  </si>
  <si>
    <t>CDW Convenience Demand Wholesale</t>
  </si>
  <si>
    <t>418 Jordan Ln NW Suite A</t>
  </si>
  <si>
    <t>Huntsville</t>
  </si>
  <si>
    <t>AL</t>
  </si>
  <si>
    <t>35805</t>
  </si>
  <si>
    <t>Chalo India</t>
  </si>
  <si>
    <t>11010 Panther Creek Parkway_x000D_
#1</t>
  </si>
  <si>
    <t>Frisco</t>
  </si>
  <si>
    <t>75034</t>
  </si>
  <si>
    <t>Try Before You Buy – Cheese Samples</t>
  </si>
  <si>
    <t>5072 Steadmont dr</t>
  </si>
  <si>
    <t>United States</t>
  </si>
  <si>
    <t>77040</t>
  </si>
  <si>
    <t>Chicago Import Inc</t>
  </si>
  <si>
    <t>3811 W Lawrence Ave</t>
  </si>
  <si>
    <t>Chicago</t>
  </si>
  <si>
    <t>IL</t>
  </si>
  <si>
    <t>60625</t>
  </si>
  <si>
    <t>Choke Cayon Travel CENTER</t>
  </si>
  <si>
    <t>16565 Shepherd Rd</t>
  </si>
  <si>
    <t>Atascosa</t>
  </si>
  <si>
    <t>78002</t>
  </si>
  <si>
    <t>Cibo Cucina Italiana</t>
  </si>
  <si>
    <t>8408 Preston Rd Suite 332, Plano, TX 75024</t>
  </si>
  <si>
    <t>Coast To Coast Distribution (GAMA WHOLESLE)</t>
  </si>
  <si>
    <t>1805 Aviation Dr</t>
  </si>
  <si>
    <t>Georgetown</t>
  </si>
  <si>
    <t>78628</t>
  </si>
  <si>
    <t>COFFE JOY</t>
  </si>
  <si>
    <t>3617 Perkins Rd #1B, Baton Rouge, LA</t>
  </si>
  <si>
    <t>coffein</t>
  </si>
  <si>
    <t>1840 westheimer rd</t>
  </si>
  <si>
    <t>houston</t>
  </si>
  <si>
    <t>77098</t>
  </si>
  <si>
    <t>Crep &amp; Cup</t>
  </si>
  <si>
    <t>3842 Irving Mall</t>
  </si>
  <si>
    <t>Irving</t>
  </si>
  <si>
    <t>75062</t>
  </si>
  <si>
    <t>Crescent market</t>
  </si>
  <si>
    <t>401 realty dr gretna la</t>
  </si>
  <si>
    <t>gretna</t>
  </si>
  <si>
    <t>Louisiana</t>
  </si>
  <si>
    <t>70056</t>
  </si>
  <si>
    <t>CSN C STORE &amp; NOVELTY OUTLET</t>
  </si>
  <si>
    <t>912 SE 44th street</t>
  </si>
  <si>
    <t>oklahoma city</t>
  </si>
  <si>
    <t>OK</t>
  </si>
  <si>
    <t>73129</t>
  </si>
  <si>
    <t>Dafne Mediterranean Food &amp; Pizzas</t>
  </si>
  <si>
    <t>6031 Hwy 6 N #190, Houston, TX 77084</t>
  </si>
  <si>
    <t>Dana Bazar - Indian Grocery Store</t>
  </si>
  <si>
    <t>751 W Lamar Blvd #101, Arlington, TX 76012</t>
  </si>
  <si>
    <t>DESI BROTHERS</t>
  </si>
  <si>
    <t>CENTRAL EXPRESSWAY SUITE 28C</t>
  </si>
  <si>
    <t>RICHARDSON</t>
  </si>
  <si>
    <t>75080</t>
  </si>
  <si>
    <t>7 eleven fort worth</t>
  </si>
  <si>
    <t>5384 Mcpherson Blvd, fort Worth,</t>
  </si>
  <si>
    <t>Fort Worth</t>
  </si>
  <si>
    <t>76123</t>
  </si>
  <si>
    <t>Dallas</t>
  </si>
  <si>
    <t>A1 wholesale</t>
  </si>
  <si>
    <t>Southwell Road</t>
  </si>
  <si>
    <t>75229</t>
  </si>
  <si>
    <t>AFGHAN ASIAN HALAL MARKET</t>
  </si>
  <si>
    <t>1750 Alma Rd #100</t>
  </si>
  <si>
    <t>Richardson</t>
  </si>
  <si>
    <t>75081</t>
  </si>
  <si>
    <t>Afghan Halal Market (Mama) DFW</t>
  </si>
  <si>
    <t>1116 E Seminary Dr</t>
  </si>
  <si>
    <t>76115</t>
  </si>
  <si>
    <t>Afghan Halal Market Texas (MANAN)</t>
  </si>
  <si>
    <t>1121 E Seminary Dr,v</t>
  </si>
  <si>
    <t>Al Markaz</t>
  </si>
  <si>
    <t>1205 W. Trinity Mills Rd Suite 112</t>
  </si>
  <si>
    <t>carrolton</t>
  </si>
  <si>
    <t>75006</t>
  </si>
  <si>
    <t>Al Nimer Roastery</t>
  </si>
  <si>
    <t>815 S Sherman St</t>
  </si>
  <si>
    <t>ALADDIN CAFE</t>
  </si>
  <si>
    <t>888 S Greenville Ave Suite 200</t>
  </si>
  <si>
    <t>Alamir Market</t>
  </si>
  <si>
    <t>207 Martha St</t>
  </si>
  <si>
    <t>Euless</t>
  </si>
  <si>
    <t>76040</t>
  </si>
  <si>
    <t>Albaghdady Bakery &amp; Café</t>
  </si>
  <si>
    <t>327 N Greenville Ave</t>
  </si>
  <si>
    <t>Altin Grocery</t>
  </si>
  <si>
    <t>1201 N Central Expy #19</t>
  </si>
  <si>
    <t>Plano</t>
  </si>
  <si>
    <t>75075</t>
  </si>
  <si>
    <t>Amma Indian Grocery Store</t>
  </si>
  <si>
    <t>5601 Basswood Blvd #149</t>
  </si>
  <si>
    <t>76137</t>
  </si>
  <si>
    <t>Amora Cafe</t>
  </si>
  <si>
    <t>635 Town Square Rd</t>
  </si>
  <si>
    <t>Garland</t>
  </si>
  <si>
    <t>77498</t>
  </si>
  <si>
    <t>Anatolia Mart Mediterranean &amp; Turkish Food Market</t>
  </si>
  <si>
    <t>1144 N Plano Rd #107,</t>
  </si>
  <si>
    <t>Angel Chicken Kitchen</t>
  </si>
  <si>
    <t>7632 Campbell Rd
314</t>
  </si>
  <si>
    <t>75248</t>
  </si>
  <si>
    <t>Another Time &amp; Place Grille</t>
  </si>
  <si>
    <t>925 Abrams Rd</t>
  </si>
  <si>
    <t>Antepian Turkish Cuisine</t>
  </si>
  <si>
    <t>2141 W Park Blvd, Plano, TX 75075</t>
  </si>
  <si>
    <t>Apna Bazaar Grocery and Grill</t>
  </si>
  <si>
    <t>2000 Old Denton Rd Apt 104</t>
  </si>
  <si>
    <t>Carrollton</t>
  </si>
  <si>
    <t>75007</t>
  </si>
  <si>
    <t>Ardy's Grill</t>
  </si>
  <si>
    <t>15615 Quorum Dr</t>
  </si>
  <si>
    <t>Addison</t>
  </si>
  <si>
    <t>75001</t>
  </si>
  <si>
    <t>Art masterclass-Dallas</t>
  </si>
  <si>
    <t>3440 Sojourn Dr Apt 200</t>
  </si>
  <si>
    <t>Arwa Yemeni Coffee</t>
  </si>
  <si>
    <t>888 S Greenville Ave Suite 223</t>
  </si>
  <si>
    <t>ASIAN GROCERY AND HALAL MEAT</t>
  </si>
  <si>
    <t>2763 E ELDORADO PKWY
SUITE 115</t>
  </si>
  <si>
    <t>LITTLE ELM</t>
  </si>
  <si>
    <t>75068</t>
  </si>
  <si>
    <t>Authentic Turkish Food</t>
  </si>
  <si>
    <t>2615 Preston Rd</t>
  </si>
  <si>
    <t>Ayat Restuarant</t>
  </si>
  <si>
    <t>200 w spring valley road</t>
  </si>
  <si>
    <t>TEXAS</t>
  </si>
  <si>
    <t>Baba's International Market</t>
  </si>
  <si>
    <t>203 S Ector Dr</t>
  </si>
  <si>
    <t>Baboush Med. Restaurant</t>
  </si>
  <si>
    <t>3636 Mc Kinney Ave #160</t>
  </si>
  <si>
    <t>75204</t>
  </si>
  <si>
    <t>Balqees Coffee ( ADEN COFFEE)</t>
  </si>
  <si>
    <t>2041 U.S. 287 Frontage Rd #103</t>
  </si>
  <si>
    <t>Mansfield</t>
  </si>
  <si>
    <t>76063</t>
  </si>
  <si>
    <t>BIGDASH ICE CREAM PASTRIES</t>
  </si>
  <si>
    <t>888 S Greenville Ave Suite 140</t>
  </si>
  <si>
    <t>Bilad Restaurant and Bakery</t>
  </si>
  <si>
    <t>850 S Greenville Ave</t>
  </si>
  <si>
    <t>Bloom Cafe Garland</t>
  </si>
  <si>
    <t>1815 W Campbell R #3</t>
  </si>
  <si>
    <t>75044</t>
  </si>
  <si>
    <t>Blue Fig</t>
  </si>
  <si>
    <t>4101 E Park Blvd # 135</t>
  </si>
  <si>
    <t>75074</t>
  </si>
  <si>
    <t>BOOMBOLT INC</t>
  </si>
  <si>
    <t>9400 wade Boulevard #2012</t>
  </si>
  <si>
    <t>75035</t>
  </si>
  <si>
    <t>Bosphorus Mediterranean Grill</t>
  </si>
  <si>
    <t>6121 W Park Blvd, Plano, TX 75093</t>
  </si>
  <si>
    <t>PLANO</t>
  </si>
  <si>
    <t>75093</t>
  </si>
  <si>
    <t>Brij Foods LLC, Spitz Plano</t>
  </si>
  <si>
    <t>565 Coit Rd, suite 700, plano tx 75075</t>
  </si>
  <si>
    <t>Brothers Market and Bakery (Afghan Halal Market)</t>
  </si>
  <si>
    <t>9205 Skillman St suite 123</t>
  </si>
  <si>
    <t>Cafe Istanbul</t>
  </si>
  <si>
    <t>7300 Lone Star Dr Suite C160</t>
  </si>
  <si>
    <t>75024</t>
  </si>
  <si>
    <t>Candy time INC</t>
  </si>
  <si>
    <t>601Donald Lynch Bld s130</t>
  </si>
  <si>
    <t>Marlborough</t>
  </si>
  <si>
    <t>MA</t>
  </si>
  <si>
    <t>01752</t>
  </si>
  <si>
    <t>Candy Zone Inc</t>
  </si>
  <si>
    <t>3803 Irving mall , Store : 7506</t>
  </si>
  <si>
    <t>irving</t>
  </si>
  <si>
    <t>Chefika Mediterranean Restaurant</t>
  </si>
  <si>
    <t>7859 Walnut Hill Ln Ste 170</t>
  </si>
  <si>
    <t>75230</t>
  </si>
  <si>
    <t>Chem Nerdz</t>
  </si>
  <si>
    <t>2671 Manana Dr</t>
  </si>
  <si>
    <t>75220</t>
  </si>
  <si>
    <t>Classic International Market</t>
  </si>
  <si>
    <t>2310 Virginia Pkwy #130</t>
  </si>
  <si>
    <t>McKinney</t>
  </si>
  <si>
    <t>75071</t>
  </si>
  <si>
    <t>Colors Grocery/Indian &amp; European Food</t>
  </si>
  <si>
    <t>5054 Trail Lake Dr</t>
  </si>
  <si>
    <t>76133</t>
  </si>
  <si>
    <t>DALLAS HALAL MEAT (Nadeem)</t>
  </si>
  <si>
    <t>7340 S State Hwy 78 Suite 1200,</t>
  </si>
  <si>
    <t>Sachse</t>
  </si>
  <si>
    <t>Darna Mediterranean Eatery</t>
  </si>
  <si>
    <t>7700 Windrose Ave., Plano, TX 75024</t>
  </si>
  <si>
    <t>DERA COFFE</t>
  </si>
  <si>
    <t>2320 Los Rios Blvd #101</t>
  </si>
  <si>
    <t>DESI CHOWRASTA-Aubrey</t>
  </si>
  <si>
    <t>2965 FM1385</t>
  </si>
  <si>
    <t>Aubrey</t>
  </si>
  <si>
    <t>76227</t>
  </si>
  <si>
    <t>DESI CHOWRASTHA-Frisco 1</t>
  </si>
  <si>
    <t>15851 Rolator Rd</t>
  </si>
  <si>
    <t>DESI CHOWRASTHA-Frisco 2</t>
  </si>
  <si>
    <t>1971 FM 423</t>
  </si>
  <si>
    <t>Desi District Irving</t>
  </si>
  <si>
    <t>6451 Riverside Dr #100</t>
  </si>
  <si>
    <t>75039</t>
  </si>
  <si>
    <t>Desi District McKinney</t>
  </si>
  <si>
    <t>5400 Collin McKinney Pkwy</t>
  </si>
  <si>
    <t>75070</t>
  </si>
  <si>
    <t>Desi District PROSPER</t>
  </si>
  <si>
    <t>2275 University Dr</t>
  </si>
  <si>
    <t>Prosper</t>
  </si>
  <si>
    <t>75033</t>
  </si>
  <si>
    <t>Desi District-Frisco</t>
  </si>
  <si>
    <t>12990 Eldorado Pkwy #100</t>
  </si>
  <si>
    <t>Dessert Avenue</t>
  </si>
  <si>
    <t>208 W FM 544
Suite 106</t>
  </si>
  <si>
    <t>Murphy</t>
  </si>
  <si>
    <t>75094</t>
  </si>
  <si>
    <t>Donerci</t>
  </si>
  <si>
    <t>300
dominion dr</t>
  </si>
  <si>
    <t>wylie</t>
  </si>
  <si>
    <t>75098</t>
  </si>
  <si>
    <t>Dove Charter Public School Foundation</t>
  </si>
  <si>
    <t>5601 Northwest Expy_x000D_
Ste: 500</t>
  </si>
  <si>
    <t>Warr Acres</t>
  </si>
  <si>
    <t>73132</t>
  </si>
  <si>
    <t>Downtown Shawarma</t>
  </si>
  <si>
    <t>118
n henderson st</t>
  </si>
  <si>
    <t>fort worth</t>
  </si>
  <si>
    <t>76102</t>
  </si>
  <si>
    <t>Dynamite Grill</t>
  </si>
  <si>
    <t>7401 Matlock Rd Suite 117</t>
  </si>
  <si>
    <t>Arlington</t>
  </si>
  <si>
    <t>76002</t>
  </si>
  <si>
    <t>ELEVENKEY LLC</t>
  </si>
  <si>
    <t>1108 N Greenville Avenue suite#135 Allen,TX</t>
  </si>
  <si>
    <t>75002</t>
  </si>
  <si>
    <t>Ephesus Bistro &amp; Grill Rowlett</t>
  </si>
  <si>
    <t>6702 Dalrock Rd,</t>
  </si>
  <si>
    <t>Rowlett</t>
  </si>
  <si>
    <t>75089</t>
  </si>
  <si>
    <t>Ephesus Mediterranean Grill</t>
  </si>
  <si>
    <t>10455 N Central Expy #118, Dallas, TX 75230</t>
  </si>
  <si>
    <t>Epic Market</t>
  </si>
  <si>
    <t>4301 14th St Suite #220, Plano, TX 75074</t>
  </si>
  <si>
    <t>Euro Deli Too</t>
  </si>
  <si>
    <t>6832 Coit rd. ste 300</t>
  </si>
  <si>
    <t>75023</t>
  </si>
  <si>
    <t>EYEL Kitchen</t>
  </si>
  <si>
    <t>6041 west i 40</t>
  </si>
  <si>
    <t>Amarillo</t>
  </si>
  <si>
    <t>79106</t>
  </si>
  <si>
    <t>Fattoush Restaurant</t>
  </si>
  <si>
    <t>2304 W Park Row Dr Suite 25, Pantego, TX 76013</t>
  </si>
  <si>
    <t>FIRIN BAKERY</t>
  </si>
  <si>
    <t>1815 W Campbell Rd Suite #6</t>
  </si>
  <si>
    <t>Fresh Halal Depot</t>
  </si>
  <si>
    <t>2304 w park row dr
STE27</t>
  </si>
  <si>
    <t>Pantego</t>
  </si>
  <si>
    <t>Fresh ready market</t>
  </si>
  <si>
    <t>10744 n beach st. ,</t>
  </si>
  <si>
    <t>76244</t>
  </si>
  <si>
    <t>Gilgamesh restaurant</t>
  </si>
  <si>
    <t>300 Terrace Dr #301, Richardson, TX 75081</t>
  </si>
  <si>
    <t>Global Food market</t>
  </si>
  <si>
    <t>800 E Sublett rd Arlington</t>
  </si>
  <si>
    <t>Tx</t>
  </si>
  <si>
    <t>76018</t>
  </si>
  <si>
    <t>Golden Star Halal Market, Afghan Bakery &amp; Cafe</t>
  </si>
  <si>
    <t>300 Terrace Dr #309</t>
  </si>
  <si>
    <t>Green Holyland Llc</t>
  </si>
  <si>
    <t>2106 N Galloway Ave ,</t>
  </si>
  <si>
    <t>Mesquite</t>
  </si>
  <si>
    <t>75150</t>
  </si>
  <si>
    <t>Green Olive Mediterranean Euro market</t>
  </si>
  <si>
    <t>101 E Southwest Pkwy # 114</t>
  </si>
  <si>
    <t>Lewisville</t>
  </si>
  <si>
    <t>75067</t>
  </si>
  <si>
    <t>Green Vine Market</t>
  </si>
  <si>
    <t>1804 K Ave, Plano</t>
  </si>
  <si>
    <t>Gulser's kitchen</t>
  </si>
  <si>
    <t>405 W Main St</t>
  </si>
  <si>
    <t>Allen</t>
  </si>
  <si>
    <t>75013</t>
  </si>
  <si>
    <t>Habesha  Cafe</t>
  </si>
  <si>
    <t>207 Martha St, Euless, TX 76040</t>
  </si>
  <si>
    <t>Habibi treat's</t>
  </si>
  <si>
    <t>West Waco Drive</t>
  </si>
  <si>
    <t>Waco</t>
  </si>
  <si>
    <t>76710</t>
  </si>
  <si>
    <t>Hadramout Restaurant</t>
  </si>
  <si>
    <t>3401 W Airport Fwy suite 102</t>
  </si>
  <si>
    <t>Hadramout Restaurant Dallas</t>
  </si>
  <si>
    <t>3825 w spring creek pkwy unit 206</t>
  </si>
  <si>
    <t>Usa</t>
  </si>
  <si>
    <t>HALAL   ALBARAKA GROCERY</t>
  </si>
  <si>
    <t>406 N MAIN ST.</t>
  </si>
  <si>
    <t>EULESS</t>
  </si>
  <si>
    <t>76039</t>
  </si>
  <si>
    <t>Halal Import Food Market</t>
  </si>
  <si>
    <t>701 E Pioneer Pkwy C, Arlington, TX 76010</t>
  </si>
  <si>
    <t>76010</t>
  </si>
  <si>
    <t>Halex Llc</t>
  </si>
  <si>
    <t>2050 N Plano Rd Suite 300-D</t>
  </si>
  <si>
    <t>75082</t>
  </si>
  <si>
    <t>Harissa Mediterranean (Sejdini)</t>
  </si>
  <si>
    <t>5805 preston rd</t>
  </si>
  <si>
    <t>Hasan Basri Bey</t>
  </si>
  <si>
    <t>190 E Stacy Rd #1414, Allen, TX 75002</t>
  </si>
  <si>
    <t>Horizon Cafe&amp;Kitchen</t>
  </si>
  <si>
    <t>2901 W 15th St_x000D_
Ste A</t>
  </si>
  <si>
    <t>77075</t>
  </si>
  <si>
    <t>Horizon Specialty Market</t>
  </si>
  <si>
    <t>2901 W 15th St. Sta: A</t>
  </si>
  <si>
    <t>HOT SPOT GYRO</t>
  </si>
  <si>
    <t>2727 , 8th Aven.</t>
  </si>
  <si>
    <t>76110</t>
  </si>
  <si>
    <t>Huseyin Gencer KRM TRADE CCOP.</t>
  </si>
  <si>
    <t>903 N Bowser Rd, #ste 250</t>
  </si>
  <si>
    <t>INDIA IMPORTS</t>
  </si>
  <si>
    <t>2521 W Airport Fwy</t>
  </si>
  <si>
    <t>Indian Superstore</t>
  </si>
  <si>
    <t>3555 Murphy Rd Suite #102, Richardson, TX 75082</t>
  </si>
  <si>
    <t>Indo-Pak Carrollton</t>
  </si>
  <si>
    <t>2548 Dickerson Pkwy, Carrollton, TX 75006</t>
  </si>
  <si>
    <t>Indo-Pak Supermarket Murphy</t>
  </si>
  <si>
    <t>420 Village Dr Suite 100</t>
  </si>
  <si>
    <t>Indopak supermarket Plano</t>
  </si>
  <si>
    <t>2060 w. spring creek pkwy. suite</t>
  </si>
  <si>
    <t>plano</t>
  </si>
  <si>
    <t>IndoPak Supermarket Richardson</t>
  </si>
  <si>
    <t>323 E Polk St, v,</t>
  </si>
  <si>
    <t>Indopak Supermarket, Lewisville</t>
  </si>
  <si>
    <t>Adres: 297 W Round Grove Rd, Lewisville, TX 75067</t>
  </si>
  <si>
    <t>Indopak World Market Arlington</t>
  </si>
  <si>
    <t>808 SW Green Oaks Blvd</t>
  </si>
  <si>
    <t>76017</t>
  </si>
  <si>
    <t>International Food Land</t>
  </si>
  <si>
    <t>1729 S Cooper St</t>
  </si>
  <si>
    <t>IQ MADEN LLC</t>
  </si>
  <si>
    <t>5900 BALCONES DR ,ste 100</t>
  </si>
  <si>
    <t>78731</t>
  </si>
  <si>
    <t>Istanbul Cuisine</t>
  </si>
  <si>
    <t>2140 South Lake Blvd Suit S</t>
  </si>
  <si>
    <t>Southlake</t>
  </si>
  <si>
    <t>77092</t>
  </si>
  <si>
    <t>Jasmine Market &amp; Cafe</t>
  </si>
  <si>
    <t>820 S Sherman St, Richardson, TX 75081</t>
  </si>
  <si>
    <t>Joe's International Market</t>
  </si>
  <si>
    <t>153 S Central Expy, McKinney, TX 75070</t>
  </si>
  <si>
    <t>mc kinney</t>
  </si>
  <si>
    <t>Kabul Cuisine</t>
  </si>
  <si>
    <t>9205 Skillman St Suite 125</t>
  </si>
  <si>
    <t>75243</t>
  </si>
  <si>
    <t>Kabul Pameer Halal Market</t>
  </si>
  <si>
    <t>2200 Airport Fwy #540</t>
  </si>
  <si>
    <t>Bedford</t>
  </si>
  <si>
    <t>76022</t>
  </si>
  <si>
    <t>Karak Tea Bakery &amp; Cafe</t>
  </si>
  <si>
    <t>1820 Coit Rd #138</t>
  </si>
  <si>
    <t>Khashoka</t>
  </si>
  <si>
    <t>1057 S Sherman St ste 130</t>
  </si>
  <si>
    <t>La Souq</t>
  </si>
  <si>
    <t>150 W Main St ste 900</t>
  </si>
  <si>
    <t>LAMA WHOLESALE</t>
  </si>
  <si>
    <t>4913 AIRPORT FREEWAY</t>
  </si>
  <si>
    <t>HALTOM CITY</t>
  </si>
  <si>
    <t>76117</t>
  </si>
  <si>
    <t>Le french kabab ( MAYFAIR GARDEN TEXAS LLC)</t>
  </si>
  <si>
    <t>3900 balcones dr</t>
  </si>
  <si>
    <t>austin</t>
  </si>
  <si>
    <t>texas</t>
  </si>
  <si>
    <t>Lelas Sweets</t>
  </si>
  <si>
    <t>230 W Parker Rd Suite 180A</t>
  </si>
  <si>
    <t>LEZZET KAFE</t>
  </si>
  <si>
    <t>6869 Frankford Rd #100, Dallas, TX 75252</t>
  </si>
  <si>
    <t>M&amp;K Mediterranean Grocery &amp; Grill</t>
  </si>
  <si>
    <t>5250 N Tarrant Pkwy #122, Fort Worth, TX 76137</t>
  </si>
  <si>
    <t>MAVES LLC</t>
  </si>
  <si>
    <t>315 Cornerstone Drive</t>
  </si>
  <si>
    <t>Waylie</t>
  </si>
  <si>
    <t>Mona Lisa Pizza</t>
  </si>
  <si>
    <t>2315 Main St.</t>
  </si>
  <si>
    <t>Caddo Mills</t>
  </si>
  <si>
    <t>75135</t>
  </si>
  <si>
    <t>Mustafa Gurkan</t>
  </si>
  <si>
    <t>635 Town Square Blvd, Garland, TX 75040</t>
  </si>
  <si>
    <t>NAY</t>
  </si>
  <si>
    <t>2100 Alamo Road</t>
  </si>
  <si>
    <t>richardson</t>
  </si>
  <si>
    <t>New Princeton Inc</t>
  </si>
  <si>
    <t>2529 royal ln   unit #202</t>
  </si>
  <si>
    <t>dallas</t>
  </si>
  <si>
    <t>Noor-sha Cafe and Catering</t>
  </si>
  <si>
    <t>1117 South Jupiter rd, Garland</t>
  </si>
  <si>
    <t>75042</t>
  </si>
  <si>
    <t>Oasis International Market</t>
  </si>
  <si>
    <t>6150 Independence Pkwy,</t>
  </si>
  <si>
    <t>Olive Kabab &amp; Gyro</t>
  </si>
  <si>
    <t>4550 Basswood Blvd._x000D_
#120</t>
  </si>
  <si>
    <t>PappaRoti Allen</t>
  </si>
  <si>
    <t>Persia frisco</t>
  </si>
  <si>
    <t>7447 hillcrest rd suite 104</t>
  </si>
  <si>
    <t>frisco</t>
  </si>
  <si>
    <t>PETRA INTERNATIONAL MARKET</t>
  </si>
  <si>
    <t>4710 W SUBLETT RD,</t>
  </si>
  <si>
    <t>ARLINGTON</t>
  </si>
  <si>
    <t>Pistachio Roastery (Lozina)</t>
  </si>
  <si>
    <t>4101 E Park Blvd #148, Plano, TX 75074</t>
  </si>
  <si>
    <t>Pita Hut &amp; Frozen Yogurt</t>
  </si>
  <si>
    <t>1625 TX-256 Loop Ste F, Palestine, TX 75801</t>
  </si>
  <si>
    <t>Palestine</t>
  </si>
  <si>
    <t>Plano halal meat</t>
  </si>
  <si>
    <t>6100 k ave suit 102</t>
  </si>
  <si>
    <t>Port coffee co</t>
  </si>
  <si>
    <t>411 E Royal LN 130
irving Tx</t>
  </si>
  <si>
    <t>IRVING</t>
  </si>
  <si>
    <t>Prime Doner</t>
  </si>
  <si>
    <t>601W 15th st</t>
  </si>
  <si>
    <t>Qamaria Yemeni Coffee Co. DALLAS (5 star)</t>
  </si>
  <si>
    <t>1601 E Debbie Ln #1111</t>
  </si>
  <si>
    <t>Raindrop Foundation of Oklahoma</t>
  </si>
  <si>
    <t>4444 calssen Blvd</t>
  </si>
  <si>
    <t>Oklahoma</t>
  </si>
  <si>
    <t>73118</t>
  </si>
  <si>
    <t>Ramallah bakery</t>
  </si>
  <si>
    <t>705 S Sherman St</t>
  </si>
  <si>
    <t>RAVI'S Import Warehouse</t>
  </si>
  <si>
    <t>1029 Harry Hines Blvd</t>
  </si>
  <si>
    <t>Rokhat Grill</t>
  </si>
  <si>
    <t>2205 n central expressway #180</t>
  </si>
  <si>
    <t>Royals International Foods Market</t>
  </si>
  <si>
    <t>901 Belt Line Rd</t>
  </si>
  <si>
    <t>102</t>
  </si>
  <si>
    <t>Sababa Restaurant</t>
  </si>
  <si>
    <t>743 Brick Row 
Ste 100</t>
  </si>
  <si>
    <t>SAFARI MEDITERRANEAN MARKET - ARLINGTON</t>
  </si>
  <si>
    <t>7221 Matlock Rd #143</t>
  </si>
  <si>
    <t>SAFARI MEDITERRANEAN MARKET - Grand Prairie</t>
  </si>
  <si>
    <t>7501 LAKE RIDGE PKWY</t>
  </si>
  <si>
    <t>GRAND PRAIRIE</t>
  </si>
  <si>
    <t>75054</t>
  </si>
  <si>
    <t>Salam Supermarket (HALAL)</t>
  </si>
  <si>
    <t>9780 Lyndon B Johnson Fwy suite 110, Dallas, TX 75243</t>
  </si>
  <si>
    <t>DALLAS</t>
  </si>
  <si>
    <t>Salam usa llc</t>
  </si>
  <si>
    <t>329 n greenville ave</t>
  </si>
  <si>
    <t>Selda Bakery</t>
  </si>
  <si>
    <t>101 S Coit Rd  #10</t>
  </si>
  <si>
    <t>Selda Mediterranean Kitchen &amp; Bar</t>
  </si>
  <si>
    <t>6006 Belt Line Rd, Dallas, TX 75254</t>
  </si>
  <si>
    <t>Selda restaurant</t>
  </si>
  <si>
    <t>6006
Belt Line Road</t>
  </si>
  <si>
    <t>75254</t>
  </si>
  <si>
    <t>Shahrzad Mediterranean Market &amp; Grill</t>
  </si>
  <si>
    <t>970 N Coit Rd #3025, Richardson, TX 75080</t>
  </si>
  <si>
    <t>Shawarma Al Reem</t>
  </si>
  <si>
    <t>100 S Central Expy #53</t>
  </si>
  <si>
    <t>Shener's Family LLC</t>
  </si>
  <si>
    <t>820 E DOVE LOOP RD APT 1</t>
  </si>
  <si>
    <t>Grapevine</t>
  </si>
  <si>
    <t>76051</t>
  </si>
  <si>
    <t>Shibam Coffee Co.</t>
  </si>
  <si>
    <t>977 E Apache Blvd Suite 101 Tempe, AZ 85281</t>
  </si>
  <si>
    <t>Silver star wholesale</t>
  </si>
  <si>
    <t>2605 joe field rd</t>
  </si>
  <si>
    <t>Sky Blue Gelato LLC ( F&amp;D LEGACY LLC)</t>
  </si>
  <si>
    <t>7140 Bishop Rd</t>
  </si>
  <si>
    <t>Spitz Frisco</t>
  </si>
  <si>
    <t>6851 Warren Pkwy Suite 201, Frisco, TX 75034</t>
  </si>
  <si>
    <t>St. Mark Specialty Food Fresh Halal Market</t>
  </si>
  <si>
    <t>501 N Main St Suite 139</t>
  </si>
  <si>
    <t>Sugar - Sweets &amp; Gelato</t>
  </si>
  <si>
    <t>1403 E Campbell Rd Suite 110</t>
  </si>
  <si>
    <t>Sugarphoria</t>
  </si>
  <si>
    <t>2400 aviation Dr._x000D_
d14</t>
  </si>
  <si>
    <t>75261</t>
  </si>
  <si>
    <t>SULTAN Restaurant-McKinney</t>
  </si>
  <si>
    <t>3935 Lake Forest Drive STE 125</t>
  </si>
  <si>
    <t>Mckinney</t>
  </si>
  <si>
    <t>Swadeshi Castle Hills</t>
  </si>
  <si>
    <t>112 Castle Hills Dr, Lewisville, TX 75056</t>
  </si>
  <si>
    <t>Swadeshi Frisco - Indian Grocery,</t>
  </si>
  <si>
    <t>14300 State Hwy 121 #100, Frisco, TX 75035</t>
  </si>
  <si>
    <t>Tarboosh Gyro Grill</t>
  </si>
  <si>
    <t>1403 E Campbell Rd #101c, Richardson, TX 750</t>
  </si>
  <si>
    <t>TEXAS KING Restaurant &amp; Meat</t>
  </si>
  <si>
    <t>3455 N Belt Line Rd #103</t>
  </si>
  <si>
    <t>The Gelato Cone</t>
  </si>
  <si>
    <t>The Raindrop of Dallas</t>
  </si>
  <si>
    <t>1416 E Collins Blvd, Richardson, TX 75081</t>
  </si>
  <si>
    <t>Tiles Workshop - San Antonio</t>
  </si>
  <si>
    <t>109 Dove Haven Drive</t>
  </si>
  <si>
    <t>Wylie</t>
  </si>
  <si>
    <t>Ohio</t>
  </si>
  <si>
    <t>Tiles Workshop Llc</t>
  </si>
  <si>
    <t>109 Dove Haven Dr.</t>
  </si>
  <si>
    <t>Tulsi Grocers</t>
  </si>
  <si>
    <t>2811 FM 544, Wylie, TX 75098</t>
  </si>
  <si>
    <t>Turan Uyghur Kitchen</t>
  </si>
  <si>
    <t>2001 Coit Rd #163, Plano, TX 75075</t>
  </si>
  <si>
    <t>Turkish Cafe &amp; Lounge</t>
  </si>
  <si>
    <t>8412 Preston Rd</t>
  </si>
  <si>
    <t>Umart</t>
  </si>
  <si>
    <t>1805 W Campbell Rd, Garland, TX 75044</t>
  </si>
  <si>
    <t>Wings Kebab Afghani Cuisine</t>
  </si>
  <si>
    <t>141 Spring Creek Pkwy #401, Plano, TX 75023</t>
  </si>
  <si>
    <t>World Food Warehouse</t>
  </si>
  <si>
    <t>13434 Floyd Cir, Dallas, TX 75243</t>
  </si>
  <si>
    <t>Ya Hala Pizza</t>
  </si>
  <si>
    <t>8650 Meadowbrook Blvd suite 100, Fort Worth, TX 76120</t>
  </si>
  <si>
    <t>Yaas pizza and wings</t>
  </si>
  <si>
    <t>906 w pioneer pkwy</t>
  </si>
  <si>
    <t>grand prairie</t>
  </si>
  <si>
    <t>Zayd Halal Market</t>
  </si>
  <si>
    <t>6504 S state hwy 78</t>
  </si>
  <si>
    <t>Zayn Global Market</t>
  </si>
  <si>
    <t>920 S Belt Line Rd
STE 110</t>
  </si>
  <si>
    <t>Coppell</t>
  </si>
  <si>
    <t>75019</t>
  </si>
  <si>
    <t>Di Rosanis Italian Restaurant</t>
  </si>
  <si>
    <t>105 S Main St, Irving, TX 75060</t>
  </si>
  <si>
    <t>75060</t>
  </si>
  <si>
    <t>Discount Smart Home Plus</t>
  </si>
  <si>
    <t>5716 Bellaire Blvd suite a, Houston, TX 77081</t>
  </si>
  <si>
    <t>Dode Anatolia LLC</t>
  </si>
  <si>
    <t>Midlan TX</t>
  </si>
  <si>
    <t>MIDLAND</t>
  </si>
  <si>
    <t>Doris Metropolitan</t>
  </si>
  <si>
    <t>2815 S Shepherd Dr, Houston, TX 77098</t>
  </si>
  <si>
    <t>E.K. PERFUMES</t>
  </si>
  <si>
    <t>5810 Hillcroft ST</t>
  </si>
  <si>
    <t>HOUSTON</t>
  </si>
  <si>
    <t>Epic market 101</t>
  </si>
  <si>
    <t>4301 14th St</t>
  </si>
  <si>
    <t>Ercan Inc</t>
  </si>
  <si>
    <t>1275 Rand Rd</t>
  </si>
  <si>
    <t>Des Plaines</t>
  </si>
  <si>
    <t>60016</t>
  </si>
  <si>
    <t>Express Kabob</t>
  </si>
  <si>
    <t>1915 N Central Expy #200, Plano, TX 75075</t>
  </si>
  <si>
    <t>11206 ROSSIE MOOR LN</t>
  </si>
  <si>
    <t>RICHMOND</t>
  </si>
  <si>
    <t>77407</t>
  </si>
  <si>
    <t>Ferah kitchen</t>
  </si>
  <si>
    <t>690 beebalm Ln</t>
  </si>
  <si>
    <t>garland</t>
  </si>
  <si>
    <t>75040</t>
  </si>
  <si>
    <t>FiLLi Cafe</t>
  </si>
  <si>
    <t>11920 S Texas 6 # 600, Sugar Land, TX 77498</t>
  </si>
  <si>
    <t>Food4thought</t>
  </si>
  <si>
    <t>5909 Washington Ave houston Tx 77007</t>
  </si>
  <si>
    <t>Frosty Cones</t>
  </si>
  <si>
    <t>120 kinsolving road</t>
  </si>
  <si>
    <t>Belton</t>
  </si>
  <si>
    <t>76513</t>
  </si>
  <si>
    <t>Fuel America laredo</t>
  </si>
  <si>
    <t>13602 Mines Rd,</t>
  </si>
  <si>
    <t>Laredo</t>
  </si>
  <si>
    <t>78045</t>
  </si>
  <si>
    <t>FUEL OF AMERICA EXIT 32</t>
  </si>
  <si>
    <t>23183 I-35, Encinal, TX 78019</t>
  </si>
  <si>
    <t>Galaxy Wholesale Novelties</t>
  </si>
  <si>
    <t>7250 Harwin Dr</t>
  </si>
  <si>
    <t>Garland Indopak Inc.</t>
  </si>
  <si>
    <t>1805 W. Campbell Rd. #105</t>
  </si>
  <si>
    <t>GHRA Warehouse and Distribution Center</t>
  </si>
  <si>
    <t>7110 Bellerive Dr</t>
  </si>
  <si>
    <t>Gold Star Imports</t>
  </si>
  <si>
    <t>8000 Harwin Dr. Ste 460</t>
  </si>
  <si>
    <t>Gordo's Travel Center</t>
  </si>
  <si>
    <t>2437 N Main St</t>
  </si>
  <si>
    <t>JUNCTION</t>
  </si>
  <si>
    <t>76849</t>
  </si>
  <si>
    <t>GOURMET EUROPEAN MARKERTY</t>
  </si>
  <si>
    <t>17435 PRESTON RD</t>
  </si>
  <si>
    <t>75252</t>
  </si>
  <si>
    <t>Grocfy LLC</t>
  </si>
  <si>
    <t>5630 Whisper Ridge Dr</t>
  </si>
  <si>
    <t>Sugar Land</t>
  </si>
  <si>
    <t>77479</t>
  </si>
  <si>
    <t>H.E.B</t>
  </si>
  <si>
    <t>646 S. Flores St. | San Antonio, TX 78204</t>
  </si>
  <si>
    <t>Hala Cafe</t>
  </si>
  <si>
    <t>605 N Main St, Euless, TX 76039</t>
  </si>
  <si>
    <t>HARAZ COFFE HOUSE</t>
  </si>
  <si>
    <t>4341 14th St #300, Plano, TX 75074</t>
  </si>
  <si>
    <t>Home Kabob &amp; Bakery</t>
  </si>
  <si>
    <t>4550 Eldorado Pkwy STE 103, McKinney, TX 75072</t>
  </si>
  <si>
    <t>ACACIA INT’L GROCERY BAKERY AND HALAL MEAT</t>
  </si>
  <si>
    <t>11821 Wilcrest Dr.</t>
  </si>
  <si>
    <t>77031</t>
  </si>
  <si>
    <t>Richmond</t>
  </si>
  <si>
    <t>AHMET SAKINAN</t>
  </si>
  <si>
    <t>11426 Robillard way RICHMOND 
1142</t>
  </si>
  <si>
    <t>AL ASEEL GRILL AND CAFE</t>
  </si>
  <si>
    <t>8619 RICHMOND AVE. SUITE#100</t>
  </si>
  <si>
    <t>77063</t>
  </si>
  <si>
    <t>Al Eman Halal Meat and Indo-Pak &amp; Middle Eastern Grocery</t>
  </si>
  <si>
    <t>9001 Louetta Rd</t>
  </si>
  <si>
    <t>Spring</t>
  </si>
  <si>
    <t>77379</t>
  </si>
  <si>
    <t>ALI YILMAZ</t>
  </si>
  <si>
    <t>18234 Port Dundas Dr.</t>
  </si>
  <si>
    <t>ALSAFA HALAL MEAT AND GRILL</t>
  </si>
  <si>
    <t>873 S Mason Rd</t>
  </si>
  <si>
    <t>Katy</t>
  </si>
  <si>
    <t>77450</t>
  </si>
  <si>
    <t>Apex Quartz USA Inc</t>
  </si>
  <si>
    <t>9618 W Tidwell Rd</t>
  </si>
  <si>
    <t>77041</t>
  </si>
  <si>
    <t>AREL LLC</t>
  </si>
  <si>
    <t>9102 Fm 2920 Apt.9108</t>
  </si>
  <si>
    <t>Tomball</t>
  </si>
  <si>
    <t>77375</t>
  </si>
  <si>
    <t>As salaam meat</t>
  </si>
  <si>
    <t>3418 higway 6 south
183</t>
  </si>
  <si>
    <t>77082</t>
  </si>
  <si>
    <t>Ayintap</t>
  </si>
  <si>
    <t>2209 HWY 6 South</t>
  </si>
  <si>
    <t>77077</t>
  </si>
  <si>
    <t>B&amp;B INTERCONTINENTAL INVESTMENT LLC ( ALICE CANDY)</t>
  </si>
  <si>
    <t>Sugar land first colony mall no:5518</t>
  </si>
  <si>
    <t>Biryani and more</t>
  </si>
  <si>
    <t>11102 S Texas 6 Ste. #110, Sugar Land, TX</t>
  </si>
  <si>
    <t>SUGAR LAND</t>
  </si>
  <si>
    <t>BW</t>
  </si>
  <si>
    <t>Chama Gaúcha Brazilian Steakhouse</t>
  </si>
  <si>
    <t>5865 Westheimer Rd,</t>
  </si>
  <si>
    <t>77057</t>
  </si>
  <si>
    <t>Choice Novelties Inc</t>
  </si>
  <si>
    <t>5700 Braxton Dr STE 101</t>
  </si>
  <si>
    <t>Chopan Kabob House</t>
  </si>
  <si>
    <t>13117 Westheimer Rd, Houston, TX 77077</t>
  </si>
  <si>
    <t>Cypress Grocery and Halal Meat</t>
  </si>
  <si>
    <t>11700 Barker Cypress Rd Suite E</t>
  </si>
  <si>
    <t>Cypress</t>
  </si>
  <si>
    <t>77433</t>
  </si>
  <si>
    <t>Divine Distro</t>
  </si>
  <si>
    <t>Mailing address:  5755 Bonhomme Rd, Suite 410,</t>
  </si>
  <si>
    <t>Durmaz LLC</t>
  </si>
  <si>
    <t>11815 Balmorhea Ln</t>
  </si>
  <si>
    <t>sugar land</t>
  </si>
  <si>
    <t>Sintek North America</t>
  </si>
  <si>
    <t>1201 Fannin St Suite #262</t>
  </si>
  <si>
    <t>77494</t>
  </si>
  <si>
    <t>ESMETU LLC</t>
  </si>
  <si>
    <t>9301 W Bellfort Blvd</t>
  </si>
  <si>
    <t>Express Fuel</t>
  </si>
  <si>
    <t>4805 Galveston Road</t>
  </si>
  <si>
    <t>77017</t>
  </si>
  <si>
    <t>Fimar Stone LLC</t>
  </si>
  <si>
    <t>5072 Steadmont Dr unit b, Houston, TX 77040</t>
  </si>
  <si>
    <t>GARSON</t>
  </si>
  <si>
    <t>2926 Hillcroft Ave, Houston, TX 77057</t>
  </si>
  <si>
    <t>Global Halal Supermarket</t>
  </si>
  <si>
    <t>5604 Hillcroft St</t>
  </si>
  <si>
    <t>HARMONY KATY</t>
  </si>
  <si>
    <t>KATY</t>
  </si>
  <si>
    <t>Harmony School of Innovation - Houston</t>
  </si>
  <si>
    <t>9421 W Sam houston pkway S</t>
  </si>
  <si>
    <t>77099</t>
  </si>
  <si>
    <t>Harmony School of Innovation - Sugar Land</t>
  </si>
  <si>
    <t>13738 Old Richmond Rd Sugar Land Texas 77498</t>
  </si>
  <si>
    <t>Harmony school of technology</t>
  </si>
  <si>
    <t>3203 N Sam Houston Pkwy W</t>
  </si>
  <si>
    <t>77038</t>
  </si>
  <si>
    <t>Harmony school of techonolgy</t>
  </si>
  <si>
    <t>9321 West Sam Houston Parkway S,</t>
  </si>
  <si>
    <t>Houston TX</t>
  </si>
  <si>
    <t>Harvest Market Sienna</t>
  </si>
  <si>
    <t>4603 Sienna Pkwy</t>
  </si>
  <si>
    <t>Missouri City</t>
  </si>
  <si>
    <t>77459</t>
  </si>
  <si>
    <t>HASAN DEMIR</t>
  </si>
  <si>
    <t>SUGAR LAND TX</t>
  </si>
  <si>
    <t>77478</t>
  </si>
  <si>
    <t>HAZION LLC</t>
  </si>
  <si>
    <t>6464 Savoy drive</t>
  </si>
  <si>
    <t>Hira Halal Meat &amp; Groceries</t>
  </si>
  <si>
    <t>17023 FM 529</t>
  </si>
  <si>
    <t>77095</t>
  </si>
  <si>
    <t>Huge Bites</t>
  </si>
  <si>
    <t>7919 Westeimer Rd</t>
  </si>
  <si>
    <t>ISTANBUL SWEETS</t>
  </si>
  <si>
    <t>7919 Westheimer Road</t>
  </si>
  <si>
    <t>Kebab Time (Food Truck)</t>
  </si>
  <si>
    <t>1989 N Fry Rd</t>
  </si>
  <si>
    <t>77449</t>
  </si>
  <si>
    <t>Keystone Tile Inc</t>
  </si>
  <si>
    <t>12608 Hempstead Rd</t>
  </si>
  <si>
    <t>Mean Grille</t>
  </si>
  <si>
    <t>3995 Richmond Ave. Suite B, Houston, TX 77027</t>
  </si>
  <si>
    <t>77027</t>
  </si>
  <si>
    <t>Medina Market and Halal Meat Market</t>
  </si>
  <si>
    <t>7120 FM 1464</t>
  </si>
  <si>
    <t>MELIS EGE LLC</t>
  </si>
  <si>
    <t>18315 Tacoma ridge dr</t>
  </si>
  <si>
    <t>77377</t>
  </si>
  <si>
    <t>ART CONSTRUCTION</t>
  </si>
  <si>
    <t>MWI (Mike World Wide Inc)</t>
  </si>
  <si>
    <t>10515 Harwin Dr, Ste 136</t>
  </si>
  <si>
    <t>Neptune Imports INC</t>
  </si>
  <si>
    <t>7636 Harwin Dr. STE 103</t>
  </si>
  <si>
    <t>OZARK TRADE</t>
  </si>
  <si>
    <t>1802 Binz Corporation</t>
  </si>
  <si>
    <t>77004</t>
  </si>
  <si>
    <t>Quality Wholesale TX</t>
  </si>
  <si>
    <t>8000 Harwin Dr. 
#190a</t>
  </si>
  <si>
    <t>Raindrop Turkish House</t>
  </si>
  <si>
    <t>9301 W Bellfort Blvd, Houston, TX 77031</t>
  </si>
  <si>
    <t>Star Mart Chevron</t>
  </si>
  <si>
    <t>5080 Reading Rd Ste A Rosenberg TX 77417</t>
  </si>
  <si>
    <t>Star Pizzeria YELLOW ROCK</t>
  </si>
  <si>
    <t>10001 W Bellfort Ave</t>
  </si>
  <si>
    <t>Sunshine Electronics</t>
  </si>
  <si>
    <t>8000 Harwin Dr. Suite 540</t>
  </si>
  <si>
    <t>SWEET LOQUM ( MGE LLC)</t>
  </si>
  <si>
    <t>70 n Planchard Circle,</t>
  </si>
  <si>
    <t>the woodland</t>
  </si>
  <si>
    <t>77382</t>
  </si>
  <si>
    <t>Tandoori Kabob House</t>
  </si>
  <si>
    <t>10728 Cypress Creek Pkwy</t>
  </si>
  <si>
    <t>Target Trading, LLC</t>
  </si>
  <si>
    <t>13219 Stafford Ste A</t>
  </si>
  <si>
    <t>77489</t>
  </si>
  <si>
    <t>Time piza</t>
  </si>
  <si>
    <t>6001 Hillcroft st: ste 300</t>
  </si>
  <si>
    <t>77081</t>
  </si>
  <si>
    <t>Tuba Ozyalcin</t>
  </si>
  <si>
    <t>12250 S kirkwood Rd, 1018</t>
  </si>
  <si>
    <t>stafford</t>
  </si>
  <si>
    <t>77477</t>
  </si>
  <si>
    <t>United Wholesale</t>
  </si>
  <si>
    <t>8000 Harwin Dr. Suit 175-180</t>
  </si>
  <si>
    <t>Waterstone Ranch Turkish Farm</t>
  </si>
  <si>
    <t>14614 County Rd 820</t>
  </si>
  <si>
    <t>Rosharon</t>
  </si>
  <si>
    <t>77583</t>
  </si>
  <si>
    <t>World Food Mart</t>
  </si>
  <si>
    <t>14625 Beechnut St, Houston, TX 77083</t>
  </si>
  <si>
    <t>WORLDFOOD EXPERSS SUGAR LAND</t>
  </si>
  <si>
    <t>10560 SYNOTT RD STEE 180</t>
  </si>
  <si>
    <t>Yusuf Osman</t>
  </si>
  <si>
    <t>10539 SUGARBRIDGE TRL</t>
  </si>
  <si>
    <t>SUGARLAND</t>
  </si>
  <si>
    <t>Zaina Supermarket &amp; Bakery</t>
  </si>
  <si>
    <t>2735 Fondren Rd, Houston, TX 77063</t>
  </si>
  <si>
    <t>01 Adana Turkish Grill</t>
  </si>
  <si>
    <t>Westheimer Road</t>
  </si>
  <si>
    <t>AB World Food Market LLC</t>
  </si>
  <si>
    <t>Shadow Creek Parkway
Suite 109</t>
  </si>
  <si>
    <t>Pearland</t>
  </si>
  <si>
    <t>77584</t>
  </si>
  <si>
    <t>Al Aqsa Halal meat Market - Clear Lake</t>
  </si>
  <si>
    <t>17325 El Camino Real</t>
  </si>
  <si>
    <t>77058</t>
  </si>
  <si>
    <t>Al Aqsa International Groceries</t>
  </si>
  <si>
    <t>2802 Old Spanish Trail</t>
  </si>
  <si>
    <t>77054</t>
  </si>
  <si>
    <t>AlBaraka Halal Meat &amp; Grill Restaurant World Food Super Market</t>
  </si>
  <si>
    <t>17754 Farm to Market Rd 529</t>
  </si>
  <si>
    <t>Almadina International Supermarket</t>
  </si>
  <si>
    <t>3210 Hillcroft St</t>
  </si>
  <si>
    <t>Andalucia Mediterranean grocery</t>
  </si>
  <si>
    <t>Morton Road</t>
  </si>
  <si>
    <t>77493</t>
  </si>
  <si>
    <t>Arabisca Restaurant</t>
  </si>
  <si>
    <t>18039 FM 529, , TX</t>
  </si>
  <si>
    <t>Avesta Persian Grill</t>
  </si>
  <si>
    <t>11165 Westheimer Rd</t>
  </si>
  <si>
    <t>77042</t>
  </si>
  <si>
    <t>Babella Food And Catering (LOQUM) Mediterranean grill</t>
  </si>
  <si>
    <t>3707 College Park Drive Ste 400</t>
  </si>
  <si>
    <t>The Woodlands</t>
  </si>
  <si>
    <t>77384</t>
  </si>
  <si>
    <t>Bake Me Happy Bakery</t>
  </si>
  <si>
    <t>24441 Tomball Pkwy Suite 180, Houston, TX 77375</t>
  </si>
  <si>
    <t>Barbarossa Coffee  Gosling location</t>
  </si>
  <si>
    <t>21943 Gosling Rd Suite 100</t>
  </si>
  <si>
    <t>77388</t>
  </si>
  <si>
    <t>Barbarossa Coffee (Barbarossa Coffee Roasters)</t>
  </si>
  <si>
    <t>9166 Farm to Market 2920 Suite 100</t>
  </si>
  <si>
    <t>Barbarossa Coffee - MAGNOLIA</t>
  </si>
  <si>
    <t>Sweetgum Road</t>
  </si>
  <si>
    <t>Magnolia</t>
  </si>
  <si>
    <t>77354</t>
  </si>
  <si>
    <t>Bazaar Istanbul</t>
  </si>
  <si>
    <t>25600 Westheimer Pkwy, Katy, TX 77494</t>
  </si>
  <si>
    <t>Beans Up Coffee-Spring</t>
  </si>
  <si>
    <t>21327 N Fwy Suite D, Spring, TX</t>
  </si>
  <si>
    <t>Beans Up Coffee-Westpark</t>
  </si>
  <si>
    <t>3306 Hwy 6 South
Suite 300</t>
  </si>
  <si>
    <t>SO COFFEE LLC (Beans up-White Wing)</t>
  </si>
  <si>
    <t>5405 hwy 6 suite 100</t>
  </si>
  <si>
    <t>Beikos Restaurant</t>
  </si>
  <si>
    <t>6800 Southwest Fwy,</t>
  </si>
  <si>
    <t>77074</t>
  </si>
  <si>
    <t>Bismillah Grocer &amp; Halal Meat</t>
  </si>
  <si>
    <t>15106 state Hwy 3</t>
  </si>
  <si>
    <t>Webster</t>
  </si>
  <si>
    <t>77598</t>
  </si>
  <si>
    <t>Chocolatzeina</t>
  </si>
  <si>
    <t>6100 Westeimer Rd</t>
  </si>
  <si>
    <t>Dijlah Grocery &amp; Bakery</t>
  </si>
  <si>
    <t>Dubai Dips</t>
  </si>
  <si>
    <t>Clear Lake City Boulevard</t>
  </si>
  <si>
    <t>77062</t>
  </si>
  <si>
    <t>Erba Subs LLC (GYRO LEAF)</t>
  </si>
  <si>
    <t>2726 Mercantile Dr Unit 302</t>
  </si>
  <si>
    <t>77471</t>
  </si>
  <si>
    <t>Expressistanbul LLC</t>
  </si>
  <si>
    <t>25115 Gosling Rd, Spring</t>
  </si>
  <si>
    <t>77389</t>
  </si>
  <si>
    <t>Fadi's - Central Kitchen</t>
  </si>
  <si>
    <t>South Texas 6</t>
  </si>
  <si>
    <t>Fadi's - Eatery</t>
  </si>
  <si>
    <t>1801 Binz St #130</t>
  </si>
  <si>
    <t>Fadi's - Galleria</t>
  </si>
  <si>
    <t>6365 Westheimer Rd</t>
  </si>
  <si>
    <t>Fadi's - Katy</t>
  </si>
  <si>
    <t>21792 Katy Fwy</t>
  </si>
  <si>
    <t>Fadi's - Museum</t>
  </si>
  <si>
    <t>Binz Street
#130</t>
  </si>
  <si>
    <t>Fadi's - Westeimer</t>
  </si>
  <si>
    <t>12360 Westheimer Rd Suite A</t>
  </si>
  <si>
    <t>Fadi’s - Memorial</t>
  </si>
  <si>
    <t>10403 Katy Fwy #150</t>
  </si>
  <si>
    <t>77024</t>
  </si>
  <si>
    <t>Fadi’s - Sugar Land</t>
  </si>
  <si>
    <t>716 Hwy 6</t>
  </si>
  <si>
    <t>Golden Roastery (Noah)</t>
  </si>
  <si>
    <t>3111 Fondren Rd</t>
  </si>
  <si>
    <t>Golden Roastery (NORTH)</t>
  </si>
  <si>
    <t>Farm to Market 1960 Road West</t>
  </si>
  <si>
    <t>77069</t>
  </si>
  <si>
    <t>Hadramout</t>
  </si>
  <si>
    <t>Adres: 3758 S Gessner Rd, Houston, TX 77063</t>
  </si>
  <si>
    <t>Haraz Coffee - Sugarland (Roast Republic)</t>
  </si>
  <si>
    <t>13582 University Blvd suite 100, Sugar Land, TX</t>
  </si>
  <si>
    <t>Houston Halal Supermarket</t>
  </si>
  <si>
    <t>6959 Harwin Dr. suite 100, Houston, TX 77036</t>
  </si>
  <si>
    <t>HOUSTON TURAN UYGHURR KITCHEN</t>
  </si>
  <si>
    <t>9330 Bellaire Blvd</t>
  </si>
  <si>
    <t>kasra Persian cafe (Nasa persian llc)</t>
  </si>
  <si>
    <t>1212 E NASA Pkwy</t>
  </si>
  <si>
    <t>Kasra Persian Grill</t>
  </si>
  <si>
    <t>Westheimer Road
Houston</t>
  </si>
  <si>
    <t>Kasra Persian Grill Times Blvd</t>
  </si>
  <si>
    <t>Times Boulevard</t>
  </si>
  <si>
    <t>77005</t>
  </si>
  <si>
    <t>Kebab Land</t>
  </si>
  <si>
    <t>10088 Longpoint Road</t>
  </si>
  <si>
    <t>77055</t>
  </si>
  <si>
    <t>Khairallah Halal Meat</t>
  </si>
  <si>
    <t>3525 Texas Ave, Bryan, TX 77802</t>
  </si>
  <si>
    <t>Kwality Bazaar- Halal Supermarket</t>
  </si>
  <si>
    <t>16803 W Airport Blvd suite 200, Richmond, TX 77407</t>
  </si>
  <si>
    <t>LAmour Du Cafe</t>
  </si>
  <si>
    <t>11929 University Blvd #1g</t>
  </si>
  <si>
    <t>Sultanpepper LLC</t>
  </si>
  <si>
    <t>Westheimer Road
houston</t>
  </si>
  <si>
    <t>LAYAL RESTAURANT (AJDL LLC)</t>
  </si>
  <si>
    <t>6328 Richmond Ave., Houston, TX 77057</t>
  </si>
  <si>
    <t>LEYASHOP LLC _ LEYA CANDY</t>
  </si>
  <si>
    <t>Willowbrook Mall</t>
  </si>
  <si>
    <t>77070</t>
  </si>
  <si>
    <t>Mama Fontana</t>
  </si>
  <si>
    <t>14779 Memorial Dr</t>
  </si>
  <si>
    <t>77079</t>
  </si>
  <si>
    <t>Meat Moot</t>
  </si>
  <si>
    <t>Eldridge Parkway</t>
  </si>
  <si>
    <t>Mediterraneo</t>
  </si>
  <si>
    <t>1400 Nasa Road 1
Suite D</t>
  </si>
  <si>
    <t>Nassau Bay</t>
  </si>
  <si>
    <t>Mezza Grille</t>
  </si>
  <si>
    <t>6100 Westheimer Rd Suite 154</t>
  </si>
  <si>
    <t>MEZZÉ#1</t>
  </si>
  <si>
    <t>1205 Grand Central Parkway Ste. 100</t>
  </si>
  <si>
    <t>CONROE</t>
  </si>
  <si>
    <t>77304</t>
  </si>
  <si>
    <t>MEZZÉ#1 Fulsher</t>
  </si>
  <si>
    <t>28432 FM 1093 STE G</t>
  </si>
  <si>
    <t>FULSHER</t>
  </si>
  <si>
    <t>77441</t>
  </si>
  <si>
    <t>Midpoint Bar and Eatery</t>
  </si>
  <si>
    <t>25600 Westheimer PKWY_x000D_
STE 400</t>
  </si>
  <si>
    <t>Fort Bend County</t>
  </si>
  <si>
    <t>77494-7296</t>
  </si>
  <si>
    <t>MOOD Coffee</t>
  </si>
  <si>
    <t>14019 Southwest Fwy #405</t>
  </si>
  <si>
    <t>Must Go Coffee</t>
  </si>
  <si>
    <t>15000 Bammel north Houston rd. Houston Tx 77014</t>
  </si>
  <si>
    <t>77014</t>
  </si>
  <si>
    <t>My Spice Grocery</t>
  </si>
  <si>
    <t>Sienna Ranch Road
missouri</t>
  </si>
  <si>
    <t>Ninja Kebab</t>
  </si>
  <si>
    <t>2608 S Shepherd Dr, Houston, TX 77098</t>
  </si>
  <si>
    <t>Noix bakery &amp; Coffee llc</t>
  </si>
  <si>
    <t>5085 Westheimer road Suite 5058</t>
  </si>
  <si>
    <t>77056</t>
  </si>
  <si>
    <t>Patio By Lapasha</t>
  </si>
  <si>
    <t>5810 Beverly Hill St, Houston, TX 77057</t>
  </si>
  <si>
    <t>Phoenicia Specialty Foods</t>
  </si>
  <si>
    <t>12141 Westheimer Rd, Houston, TX 77077</t>
  </si>
  <si>
    <t>Qamaria Cafe Richmond</t>
  </si>
  <si>
    <t>Waterview Town Center Drive</t>
  </si>
  <si>
    <t>Ramadan Halal Meat Market</t>
  </si>
  <si>
    <t>4750 Cypress Creek Pkwy, Houston, TX 77069</t>
  </si>
  <si>
    <t>Ranosh Cafe</t>
  </si>
  <si>
    <t>3402 Fondren Rd, Houston, TX 77063</t>
  </si>
  <si>
    <t>Royal Roastery</t>
  </si>
  <si>
    <t>6467 Westheimer Rd A, Houston, TX 77057</t>
  </si>
  <si>
    <t>Royal Roastery NOLA</t>
  </si>
  <si>
    <t>1180 Terry Pkwy Ste 103</t>
  </si>
  <si>
    <t>Terrytown</t>
  </si>
  <si>
    <t>Ruposhi Bangla</t>
  </si>
  <si>
    <t>South Texas 6
SH 6</t>
  </si>
  <si>
    <t>77083</t>
  </si>
  <si>
    <t>Sayad Mediterranean Kitchen</t>
  </si>
  <si>
    <t>2712 Eldridge Pkwy, Houston, TX 77082</t>
  </si>
  <si>
    <t>Shaghf Coffe</t>
  </si>
  <si>
    <t>Promenade Way
ste 100,</t>
  </si>
  <si>
    <t>Simit And Poacha vatoz</t>
  </si>
  <si>
    <t>12315 Westheimer Rd Ste D</t>
  </si>
  <si>
    <t>Spice bazaar</t>
  </si>
  <si>
    <t>University Boulevard</t>
  </si>
  <si>
    <t>sultan pepper-Galleria Mall</t>
  </si>
  <si>
    <t>5015 Westheimer Rd</t>
  </si>
  <si>
    <t>The Butcher's Grille - Houston</t>
  </si>
  <si>
    <t>5740 San Felipe St #100</t>
  </si>
  <si>
    <t>The Core Cafe</t>
  </si>
  <si>
    <t>9222 Louetta Rd</t>
  </si>
  <si>
    <t>77379-6245</t>
  </si>
  <si>
    <t>The meat grinder (NOUR HALAL MEAT)</t>
  </si>
  <si>
    <t>8002 FM 1464 Suite 300</t>
  </si>
  <si>
    <t>Two Brothers Halal Market</t>
  </si>
  <si>
    <t>Conrad Sauer Drive</t>
  </si>
  <si>
    <t>77043</t>
  </si>
  <si>
    <t>Vogs coffe house</t>
  </si>
  <si>
    <t>10610 Gaston RD STE 190 KATY</t>
  </si>
  <si>
    <t>World Food Express Rosenberg</t>
  </si>
  <si>
    <t>235 Minonite Rd #120</t>
  </si>
  <si>
    <t>Rosenberg</t>
  </si>
  <si>
    <t>77469</t>
  </si>
  <si>
    <t>Yucca Grill Turkish Cuisine</t>
  </si>
  <si>
    <t>9222 Louetta Rd #100</t>
  </si>
  <si>
    <t>Zamani 2 International Market</t>
  </si>
  <si>
    <t>Riley Fuzzel Road</t>
  </si>
  <si>
    <t>77386</t>
  </si>
  <si>
    <t>Zamani Market And Grocery</t>
  </si>
  <si>
    <t>9440 Louetta Rd</t>
  </si>
  <si>
    <t>HTX wholesale &amp; Distributors</t>
  </si>
  <si>
    <t>7222 Harwin dr</t>
  </si>
  <si>
    <t>HUBER MART</t>
  </si>
  <si>
    <t>6640 BRANDT PIKE</t>
  </si>
  <si>
    <t>HUBER HEIGHTS</t>
  </si>
  <si>
    <t>OHIO</t>
  </si>
  <si>
    <t>45424</t>
  </si>
  <si>
    <t>Hunt's Food Store</t>
  </si>
  <si>
    <t>7932 S Great Trinity Forest Way, Dallas, TX 75217</t>
  </si>
  <si>
    <t>75217</t>
  </si>
  <si>
    <t>Huntsville Wholesale Grocers, Inc.</t>
  </si>
  <si>
    <t>904 US-190, Huntsville</t>
  </si>
  <si>
    <t>77340</t>
  </si>
  <si>
    <t>huqqa social</t>
  </si>
  <si>
    <t>11920 S Texas 6 suite 1200, Sugar Land, TX 77498</t>
  </si>
  <si>
    <t>IBF International</t>
  </si>
  <si>
    <t>496 Lower Fricks Lock Rd, unit 212</t>
  </si>
  <si>
    <t>Pottstown</t>
  </si>
  <si>
    <t>PA</t>
  </si>
  <si>
    <t>19465</t>
  </si>
  <si>
    <t>Imperial Spice</t>
  </si>
  <si>
    <t>11941 S Texas 6, Sugar Land, TX 77498</t>
  </si>
  <si>
    <t>APIL SERVICES LLC</t>
  </si>
  <si>
    <t>1700 Bryant Dr Ste 102</t>
  </si>
  <si>
    <t>US</t>
  </si>
  <si>
    <t>jerusalem international foods</t>
  </si>
  <si>
    <t>5360 N Mesa St, El Paso, TX 79912</t>
  </si>
  <si>
    <t>El Paso</t>
  </si>
  <si>
    <t>79912</t>
  </si>
  <si>
    <t>K Wholesale LLC</t>
  </si>
  <si>
    <t>1122 E Main
Ste 4</t>
  </si>
  <si>
    <t>Philadelphia</t>
  </si>
  <si>
    <t>MS</t>
  </si>
  <si>
    <t>39350</t>
  </si>
  <si>
    <t>Kansas City Raindrop Foundation</t>
  </si>
  <si>
    <t>4215 Shawnee Dr</t>
  </si>
  <si>
    <t>Kansas City</t>
  </si>
  <si>
    <t>KS</t>
  </si>
  <si>
    <t>66106</t>
  </si>
  <si>
    <t>Karibu Coffees Cafe</t>
  </si>
  <si>
    <t>2522 w park row dr</t>
  </si>
  <si>
    <t>pantego</t>
  </si>
  <si>
    <t>KHAN ALP LLC</t>
  </si>
  <si>
    <t>504 manorview Dr apt A  37923</t>
  </si>
  <si>
    <t>KNOXVILLE</t>
  </si>
  <si>
    <t>TN</t>
  </si>
  <si>
    <t>KKL INTERNATIONAL LLC</t>
  </si>
  <si>
    <t>5111 S Royal Atlanta Dr Suite 5125</t>
  </si>
  <si>
    <t>Tucker</t>
  </si>
  <si>
    <t>30084</t>
  </si>
  <si>
    <t>La Shish greek Mediterranean</t>
  </si>
  <si>
    <t>600 E Main St, Allen, TX 75002
AMIR ALJAZAERLI</t>
  </si>
  <si>
    <t>A Z International Fine  Foods</t>
  </si>
  <si>
    <t>13461 Tiger Bend Rd</t>
  </si>
  <si>
    <t>70817</t>
  </si>
  <si>
    <t>Al Nour Super Market</t>
  </si>
  <si>
    <t>1525 Lapalco Blvd</t>
  </si>
  <si>
    <t>Harvey</t>
  </si>
  <si>
    <t>70058</t>
  </si>
  <si>
    <t>Cedar halal market and pharmacy</t>
  </si>
  <si>
    <t>5029 veterans memorial blvd</t>
  </si>
  <si>
    <t>metairi</t>
  </si>
  <si>
    <t>Kased International Market 1</t>
  </si>
  <si>
    <t>3645 Florida Ave</t>
  </si>
  <si>
    <t>Kenner</t>
  </si>
  <si>
    <t>70065</t>
  </si>
  <si>
    <t>Kased International Market 2</t>
  </si>
  <si>
    <t>2910 S Archibald Ave</t>
  </si>
  <si>
    <t>Ontario</t>
  </si>
  <si>
    <t>CA</t>
  </si>
  <si>
    <t>91761</t>
  </si>
  <si>
    <t>MADINA MARKET</t>
  </si>
  <si>
    <t>1409 Shiloh Rd #200, Plano, TX 75074</t>
  </si>
  <si>
    <t>Makan Halal Cuisine</t>
  </si>
  <si>
    <t>7959 Fredericksburg Rd #215, San Antonio, TX 78229</t>
  </si>
  <si>
    <t>MALANI ENTERPRISE , INC</t>
  </si>
  <si>
    <t>6901 APPLING FARMS PKWY</t>
  </si>
  <si>
    <t>MEMPHIS</t>
  </si>
  <si>
    <t>38133</t>
  </si>
  <si>
    <t>Marathon Gas station</t>
  </si>
  <si>
    <t>111 Marcum RD</t>
  </si>
  <si>
    <t>Lakeland</t>
  </si>
  <si>
    <t>33809</t>
  </si>
  <si>
    <t>Massaya Mediterranean Cuisine and Hookah</t>
  </si>
  <si>
    <t>8383 Westheimer Rd Suite112, Houston, TX 77063</t>
  </si>
  <si>
    <t>Mecca Food Mart</t>
  </si>
  <si>
    <t>2810 S Cooper St, Arlington, TX 76015</t>
  </si>
  <si>
    <t>MedMart LLC</t>
  </si>
  <si>
    <t>3925 North MacArthur blvd</t>
  </si>
  <si>
    <t>warr Acres</t>
  </si>
  <si>
    <t>Mehmet Uçar</t>
  </si>
  <si>
    <t>15219 Snow Hill Ct Sugar Land 77498</t>
  </si>
  <si>
    <t>MML GROUP LLC Two Brothers Halal Market</t>
  </si>
  <si>
    <t>1109 Conrad Sauer Dr, Houston, TX 77043</t>
  </si>
  <si>
    <t>MODA CAFE, LLC</t>
  </si>
  <si>
    <t>12430 Hempstead Rd</t>
  </si>
  <si>
    <t>MODA FOOD NJ</t>
  </si>
  <si>
    <t>Mona’s cafe</t>
  </si>
  <si>
    <t>3901 banks street</t>
  </si>
  <si>
    <t>New Orleans</t>
  </si>
  <si>
    <t>70119</t>
  </si>
  <si>
    <t>Monster Wholesale</t>
  </si>
  <si>
    <t>11100 Harry Hines Blvd</t>
  </si>
  <si>
    <t>Mosaic Cafe</t>
  </si>
  <si>
    <t>is at 11241 W 95th street</t>
  </si>
  <si>
    <t>OverlandPark</t>
  </si>
  <si>
    <t>66214</t>
  </si>
  <si>
    <t>Mr Baguette</t>
  </si>
  <si>
    <t>7301 Matlock Rd suite #127, Arlington, TX 76002</t>
  </si>
  <si>
    <t>SANAS US TRADING LLC</t>
  </si>
  <si>
    <t>1605 PRIMROSE PL</t>
  </si>
  <si>
    <t>ALLEN</t>
  </si>
  <si>
    <t>Mr Rayhan</t>
  </si>
  <si>
    <t>1815 W Campbell Rd, Garland TX</t>
  </si>
  <si>
    <t>NEPA WHOLESALE</t>
  </si>
  <si>
    <t>3220 45th St west Palm Beach , FL</t>
  </si>
  <si>
    <t>WEST PALM BEACH</t>
  </si>
  <si>
    <t>33407</t>
  </si>
  <si>
    <t>New Iqra World Food Market</t>
  </si>
  <si>
    <t>7031 FM 1960, Humble, TX 77338</t>
  </si>
  <si>
    <t>NEW SUN RACING</t>
  </si>
  <si>
    <t>2000S expressway 83 ste E07</t>
  </si>
  <si>
    <t>HARLINGEN</t>
  </si>
  <si>
    <t>78570</t>
  </si>
  <si>
    <t>Noor Cafe</t>
  </si>
  <si>
    <t>15375 Addison Rd</t>
  </si>
  <si>
    <t>Nur’s Kitchen</t>
  </si>
  <si>
    <t>100 S Tyler St STE 9A, Covington, LA 70433</t>
  </si>
  <si>
    <t>One Stop Distro LLC</t>
  </si>
  <si>
    <t>540 Mountain Industrial Blvd, Suite A</t>
  </si>
  <si>
    <t>4322 Country Club blvd</t>
  </si>
  <si>
    <t>Cape Coral</t>
  </si>
  <si>
    <t>33904</t>
  </si>
  <si>
    <t>Patel Brothers</t>
  </si>
  <si>
    <t>MacArthur Marketplace, 8150 Walton Blvd, Irving, TX 75063</t>
  </si>
  <si>
    <t>PATEL BROTHERS ROCHELLE</t>
  </si>
  <si>
    <t>1009 W Rochelle Rd, Irving, TX 75062</t>
  </si>
  <si>
    <t>Peace Middle East cafe</t>
  </si>
  <si>
    <t>581 W Campbell Rd #125, Richardson, TX 75080</t>
  </si>
  <si>
    <t>Price &amp; Co</t>
  </si>
  <si>
    <t>3530 W Cardinal Dr</t>
  </si>
  <si>
    <t>Beaumont</t>
  </si>
  <si>
    <t>77705</t>
  </si>
  <si>
    <t>Pump N Shop</t>
  </si>
  <si>
    <t>101 Shiloh Dr</t>
  </si>
  <si>
    <t>Laredo,</t>
  </si>
  <si>
    <t>PUMP N SHOP  54 (BAYTOWN)</t>
  </si>
  <si>
    <t>2401 GARTH RD</t>
  </si>
  <si>
    <t>BAYTOWN</t>
  </si>
  <si>
    <t>77520</t>
  </si>
  <si>
    <t>3650 West Fm 1161 Rd</t>
  </si>
  <si>
    <t>Wharton</t>
  </si>
  <si>
    <t>77488</t>
  </si>
  <si>
    <t>QUALITY TRADE GROUP INC.</t>
  </si>
  <si>
    <t>501 S Industrial Blvd, Euless, TX 76040</t>
  </si>
  <si>
    <t>Rahmani halal market LLC</t>
  </si>
  <si>
    <t>5400 Woodway Dr Suite 100, Fort Worth, TX 76133</t>
  </si>
  <si>
    <t>REGIONS STATION</t>
  </si>
  <si>
    <t>1737 Vidalia st</t>
  </si>
  <si>
    <t>79118</t>
  </si>
  <si>
    <t>RN International</t>
  </si>
  <si>
    <t>3909 W. Lawrence Ave</t>
  </si>
  <si>
    <t>SADIK BEY KEYSTONE</t>
  </si>
  <si>
    <t>12608 Hempstead Rd, Houston, TX 77092</t>
  </si>
  <si>
    <t>Samak Seafood Market and Cuisine</t>
  </si>
  <si>
    <t>25600 Westheimer Pkwy #100, Katy, TX</t>
  </si>
  <si>
    <t>2025 Busy BEE, LLC</t>
  </si>
  <si>
    <t>22255 US HIGHWAY 281 N STE 101</t>
  </si>
  <si>
    <t>SAN ANTIO</t>
  </si>
  <si>
    <t>78258</t>
  </si>
  <si>
    <t>ANA Distribution Inc.</t>
  </si>
  <si>
    <t>1429 W Hildebrand Ave Suite 106,</t>
  </si>
  <si>
    <t>San Antonio</t>
  </si>
  <si>
    <t>78201</t>
  </si>
  <si>
    <t>Avila Produce Inc</t>
  </si>
  <si>
    <t>1803 S Zarzamora St</t>
  </si>
  <si>
    <t>78207</t>
  </si>
  <si>
    <t>Berliner Doner Bakery LLC</t>
  </si>
  <si>
    <t>2602 luke blvd 78236 lackland</t>
  </si>
  <si>
    <t>lackland</t>
  </si>
  <si>
    <t>78236</t>
  </si>
  <si>
    <t>Bowls N Go</t>
  </si>
  <si>
    <t>203 8th st</t>
  </si>
  <si>
    <t>78215</t>
  </si>
  <si>
    <t>Chako Food (Recep Bey)</t>
  </si>
  <si>
    <t>Chakoo Pizza/Pizzaday 10225 Research Blvd #110</t>
  </si>
  <si>
    <t>78759</t>
  </si>
  <si>
    <t>Chef’s Table</t>
  </si>
  <si>
    <t>1546 Babcock Rd #102, ,</t>
  </si>
  <si>
    <t>78229</t>
  </si>
  <si>
    <t>LA CAFE BATU LLC</t>
  </si>
  <si>
    <t>11840 Alamo ranch pkwy</t>
  </si>
  <si>
    <t>78245</t>
  </si>
  <si>
    <t>Pasha Restaurant group Inc</t>
  </si>
  <si>
    <t>17425 Redland Rd</t>
  </si>
  <si>
    <t>San antonio</t>
  </si>
  <si>
    <t>78247</t>
  </si>
  <si>
    <t>Raindrop Foundation San Antonio</t>
  </si>
  <si>
    <t>4337 Vance Jackson Rd Ste#203</t>
  </si>
  <si>
    <t>78230</t>
  </si>
  <si>
    <t>San Antonio Cig Kofte</t>
  </si>
  <si>
    <t>6502 Falcons heights San Antonio, TX 78233</t>
  </si>
  <si>
    <t>STMA Business, LLC</t>
  </si>
  <si>
    <t>12054 Starcrest DR</t>
  </si>
  <si>
    <t>SAN ANTONIO</t>
  </si>
  <si>
    <t>78247-4334</t>
  </si>
  <si>
    <t>Texas Wholesale ( SA)</t>
  </si>
  <si>
    <t>5025 Timberhill Dr #111</t>
  </si>
  <si>
    <t>, TX</t>
  </si>
  <si>
    <t>78238</t>
  </si>
  <si>
    <t>Tulip Grill &amp; Bakery LLC</t>
  </si>
  <si>
    <t>11851 bandera rd suit#123</t>
  </si>
  <si>
    <t>Helotes</t>
  </si>
  <si>
    <t>78203</t>
  </si>
  <si>
    <t>Ali Baba International Food Market</t>
  </si>
  <si>
    <t>9307 Wurzbach Rd</t>
  </si>
  <si>
    <t>78240</t>
  </si>
  <si>
    <t>Dallah Mediterranean Cuisine</t>
  </si>
  <si>
    <t>5450 Babcock Rd #112, San Antonio, TX 78240</t>
  </si>
  <si>
    <t>Dolo Gelato Coffee and Pastries</t>
  </si>
  <si>
    <t>23127 W I-10 #201</t>
  </si>
  <si>
    <t>78256</t>
  </si>
  <si>
    <t>Liva Mediterranean Grill</t>
  </si>
  <si>
    <t>2026 Austin Hwy</t>
  </si>
  <si>
    <t>78218</t>
  </si>
  <si>
    <t>BHD Management llc</t>
  </si>
  <si>
    <t>9392 WURZBACH RD</t>
  </si>
  <si>
    <t>Baklovah Bakery &amp; Sweets</t>
  </si>
  <si>
    <t>9329 Wurzbach Rd #104, San Antonio, TX 78240</t>
  </si>
  <si>
    <t>Pasha Mediterranean Grill (Blanco)</t>
  </si>
  <si>
    <t>1207 N Loop 1604 W</t>
  </si>
  <si>
    <t>78232</t>
  </si>
  <si>
    <t>Pasha Mediterranean Grill Selma</t>
  </si>
  <si>
    <t>15069 I-35 Ste. 202, Selma, TX 78154</t>
  </si>
  <si>
    <t>Selma</t>
  </si>
  <si>
    <t>78154</t>
  </si>
  <si>
    <t>Zaatar Lebanese Grill</t>
  </si>
  <si>
    <t>9323 Wurzbach Rd</t>
  </si>
  <si>
    <t>Shisha Cafe</t>
  </si>
  <si>
    <t>5500 Babcock Rd #101</t>
  </si>
  <si>
    <t>SARAS MED. MARKET</t>
  </si>
  <si>
    <t>750 S SHERMAN ST.</t>
  </si>
  <si>
    <t>SARIGAMA INDIAN CAFE</t>
  </si>
  <si>
    <t>5427 N MAC ARTHUR BLVD</t>
  </si>
  <si>
    <t>75038</t>
  </si>
  <si>
    <t>SARIGAMA INDIAN CAFE 2</t>
  </si>
  <si>
    <t>Savia USA</t>
  </si>
  <si>
    <t>6704 Parke E Blvd</t>
  </si>
  <si>
    <t>Tampa</t>
  </si>
  <si>
    <t>33610</t>
  </si>
  <si>
    <t>SELDA LAS COLINAS</t>
  </si>
  <si>
    <t>7750 N MACARTHUR BLVD</t>
  </si>
  <si>
    <t>75063</t>
  </si>
  <si>
    <t>Sevin Mediterranean Kitchen</t>
  </si>
  <si>
    <t>9955 Frontage Rd, San Antonio, TX 78230</t>
  </si>
  <si>
    <t>Sevinc Retail LLC</t>
  </si>
  <si>
    <t>700 Wooddale Terrace No 18</t>
  </si>
  <si>
    <t>Greenwood</t>
  </si>
  <si>
    <t>IN</t>
  </si>
  <si>
    <t>46142</t>
  </si>
  <si>
    <t>Shawarma Bites</t>
  </si>
  <si>
    <t>3115 S Cooper St Ste 101, Arlington, TX 76015</t>
  </si>
  <si>
    <t>Shibam Coffee</t>
  </si>
  <si>
    <t>850 S Greenville Ave #105, Richardson, TX 75081</t>
  </si>
  <si>
    <t>Shibam Coffee Mi</t>
  </si>
  <si>
    <t>3730 Eastham Rd, Dearborn MI 48120</t>
  </si>
  <si>
    <t>Soccer Jersey Kiosk at front of Lush</t>
  </si>
  <si>
    <t>4322 country club blvd</t>
  </si>
  <si>
    <t>Sooners Wholesale Inc</t>
  </si>
  <si>
    <t>1001 NW 4th St</t>
  </si>
  <si>
    <t>Oklahoma City</t>
  </si>
  <si>
    <t>73106-7420</t>
  </si>
  <si>
    <t>SS TOBACCO DISTRIBUTOR LLC</t>
  </si>
  <si>
    <t>4018 N 3RD AVE</t>
  </si>
  <si>
    <t>PHOENIX</t>
  </si>
  <si>
    <t>AZ</t>
  </si>
  <si>
    <t>85338</t>
  </si>
  <si>
    <t>Star importers and wholesalers</t>
  </si>
  <si>
    <t>2166 mountain industrial blvd</t>
  </si>
  <si>
    <t>subra NARRAVULA</t>
  </si>
  <si>
    <t>Sultan Pepar Memorial</t>
  </si>
  <si>
    <t>Memorial City Mall_x000D_
suit#730</t>
  </si>
  <si>
    <t>Sunrise Wholesale &amp; Distribution</t>
  </si>
  <si>
    <t>3760 Bloomfield Village Dr</t>
  </si>
  <si>
    <t>Macon</t>
  </si>
  <si>
    <t>31206</t>
  </si>
  <si>
    <t>Chef truck LLC</t>
  </si>
  <si>
    <t>9400 Hunter lane</t>
  </si>
  <si>
    <t>Texas Jasmine Wholesale</t>
  </si>
  <si>
    <t>7051 Southwest Fwy,_x000D_
USE DOCK 5 for Delivery</t>
  </si>
  <si>
    <t>Texas Wholesale</t>
  </si>
  <si>
    <t>2667 Northaven Drive</t>
  </si>
  <si>
    <t>Texas Wholesale - Dallas</t>
  </si>
  <si>
    <t>2667 Northaven Rd</t>
  </si>
  <si>
    <t>Toys Land LLC</t>
  </si>
  <si>
    <t>2200 S 10th Street #162</t>
  </si>
  <si>
    <t>Mcallen</t>
  </si>
  <si>
    <t>78503</t>
  </si>
  <si>
    <t>Unique Imports INC</t>
  </si>
  <si>
    <t>10854 Kinghurst Dr</t>
  </si>
  <si>
    <t>Wholesales on wheels llc</t>
  </si>
  <si>
    <t>12323 Grossart LN</t>
  </si>
  <si>
    <t>Zamzam restaurant</t>
  </si>
  <si>
    <t>3913 n macarthur bvd</t>
  </si>
  <si>
    <t>war acres</t>
  </si>
  <si>
    <t>73122</t>
  </si>
  <si>
    <t>Zanobia grocery</t>
  </si>
  <si>
    <t>110 n range line rd</t>
  </si>
  <si>
    <t>joplin</t>
  </si>
  <si>
    <t>MO</t>
  </si>
  <si>
    <t>64801</t>
  </si>
  <si>
    <t>Encinal</t>
  </si>
  <si>
    <t>Alrlington</t>
  </si>
  <si>
    <t>Bryan</t>
  </si>
  <si>
    <t>Dearborn</t>
  </si>
  <si>
    <t xml:space="preserve">5900 BALCONES DR STE 100 </t>
  </si>
  <si>
    <t>Eufess</t>
  </si>
  <si>
    <t>Humble</t>
  </si>
  <si>
    <t>Tempe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</si>
</sst>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8"/>
      <name val="Arial"/>
    </font>
    <font>
      <sz val="8"/>
      <name val="Arial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8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wrapText="1"/>
    </xf>
    <xf numFmtId="0" fontId="2" fillId="0" borderId="0" xfId="0" applyFont="1" applyAlignment="1">
      <alignment horizontal="left" wrapText="1"/>
    </xf>
    <xf numFmtId="4" fontId="2" fillId="0" borderId="0" xfId="0" applyNumberFormat="1" applyFont="1" applyAlignment="1">
      <alignment horizontal="right" wrapText="1"/>
    </xf>
    <xf numFmtId="0" fontId="3" fillId="0" borderId="1" xfId="0" applyFont="1" applyBorder="1" applyAlignment="1">
      <alignment horizontal="center" wrapText="1"/>
    </xf>
    <xf numFmtId="0" fontId="2" fillId="2" borderId="0" xfId="0" applyFont="1" applyFill="1" applyAlignment="1">
      <alignment horizontal="left" wrapText="1"/>
    </xf>
    <xf numFmtId="4" fontId="2" fillId="2" borderId="0" xfId="0" applyNumberFormat="1" applyFont="1" applyFill="1" applyAlignment="1">
      <alignment horizontal="right" wrapText="1"/>
    </xf>
    <xf numFmtId="0" fontId="0" fillId="2" borderId="0" xfId="0" applyFill="1"/>
    <xf numFmtId="0" fontId="4" fillId="0" borderId="0" xfId="0" applyFont="1"/>
    <xf numFmtId="0" fontId="5" fillId="0" borderId="0" xfId="0" applyFont="1" applyAlignment="1">
      <alignment horizontal="left" wrapText="1"/>
    </xf>
    <xf numFmtId="4" fontId="5" fillId="0" borderId="0" xfId="0" applyNumberFormat="1" applyFon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#N/A</fb>
    <v>6</v>
    <v>7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F9C2E-9265-9C48-BE0C-09538A2F9A1C}">
  <dimension ref="A1:N599"/>
  <sheetViews>
    <sheetView tabSelected="1" zoomScaleNormal="100" workbookViewId="0">
      <selection activeCell="U8" sqref="U8"/>
    </sheetView>
  </sheetViews>
  <sheetFormatPr baseColWidth="10" defaultRowHeight="13" x14ac:dyDescent="0.15"/>
  <cols>
    <col min="1" max="256" width="8.83203125" customWidth="1"/>
  </cols>
  <sheetData>
    <row r="1" spans="1:14" ht="2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 t="s">
        <v>0</v>
      </c>
      <c r="J1" s="1" t="s">
        <v>1</v>
      </c>
      <c r="K1" s="1" t="s">
        <v>2</v>
      </c>
      <c r="L1" s="1" t="s">
        <v>3</v>
      </c>
      <c r="M1" s="1" t="s">
        <v>4</v>
      </c>
      <c r="N1" s="4" t="s">
        <v>5</v>
      </c>
    </row>
    <row r="2" spans="1:14" ht="24" x14ac:dyDescent="0.15">
      <c r="A2" s="2" t="s">
        <v>1212</v>
      </c>
      <c r="B2" s="2" t="s">
        <v>1213</v>
      </c>
      <c r="C2" s="2" t="s">
        <v>254</v>
      </c>
      <c r="D2" s="2" t="s">
        <v>102</v>
      </c>
      <c r="E2" s="2" t="s">
        <v>10</v>
      </c>
      <c r="F2" s="2" t="s">
        <v>255</v>
      </c>
      <c r="G2" s="2"/>
      <c r="H2" s="2"/>
      <c r="I2" s="2" t="str">
        <f>TRIM(CLEAN(SUBSTITUTE(A2,CHAR(10)," ")))</f>
        <v>Noor Cafe</v>
      </c>
      <c r="J2" s="2" t="str">
        <f>TRIM(CLEAN(SUBSTITUTE(B2,CHAR(10)," ")))</f>
        <v>15375 Addison Rd</v>
      </c>
      <c r="K2" s="3" t="str">
        <f>PROPER(TRIM(C2))</f>
        <v>Addison</v>
      </c>
      <c r="L2" s="8" t="s">
        <v>20</v>
      </c>
      <c r="M2" t="str">
        <f>IF(OR(UPPER(E2)="UNITED STATES",UPPER(E2)="UNITED STATES OF AMERICA",UPPER(E2)="US",UPPER(E2)="USA"),"USA",E2)</f>
        <v>USA</v>
      </c>
      <c r="N2" t="str" cm="1">
        <f t="array" ref="N2">_xlfn.REGEXEXTRACT(F2,"\d{5}")</f>
        <v>75001</v>
      </c>
    </row>
    <row r="3" spans="1:14" ht="24" x14ac:dyDescent="0.15">
      <c r="A3" s="2" t="s">
        <v>252</v>
      </c>
      <c r="B3" s="2" t="s">
        <v>253</v>
      </c>
      <c r="C3" s="2" t="s">
        <v>254</v>
      </c>
      <c r="D3" s="2" t="s">
        <v>20</v>
      </c>
      <c r="E3" s="2" t="s">
        <v>10</v>
      </c>
      <c r="F3" s="2" t="s">
        <v>255</v>
      </c>
      <c r="G3" s="2"/>
      <c r="H3" s="2"/>
      <c r="I3" s="2" t="str">
        <f>TRIM(CLEAN(SUBSTITUTE(A3,CHAR(10)," ")))</f>
        <v>Ardy's Grill</v>
      </c>
      <c r="J3" s="2" t="str">
        <f>TRIM(CLEAN(SUBSTITUTE(B3,CHAR(10)," ")))</f>
        <v>15615 Quorum Dr</v>
      </c>
      <c r="K3" s="3" t="str">
        <f>PROPER(TRIM(C3))</f>
        <v>Addison</v>
      </c>
      <c r="L3" t="str">
        <f>UPPER(LEFT(TRIM(D3),2))</f>
        <v>TX</v>
      </c>
      <c r="M3" t="str">
        <f>IF(OR(UPPER(E3)="UNITED STATES",UPPER(E3)="UNITED STATES OF AMERICA",UPPER(E3)="US",UPPER(E3)="USA"),"USA",E3)</f>
        <v>USA</v>
      </c>
      <c r="N3" t="str" cm="1">
        <f t="array" ref="N3">_xlfn.REGEXEXTRACT(F3,"\d{5}")</f>
        <v>75001</v>
      </c>
    </row>
    <row r="4" spans="1:14" ht="36" x14ac:dyDescent="0.15">
      <c r="A4" s="2" t="s">
        <v>1197</v>
      </c>
      <c r="B4" s="2" t="s">
        <v>1198</v>
      </c>
      <c r="C4" s="2" t="s">
        <v>1199</v>
      </c>
      <c r="D4" s="2" t="s">
        <v>20</v>
      </c>
      <c r="E4" s="2"/>
      <c r="F4" s="2" t="s">
        <v>372</v>
      </c>
      <c r="G4" s="2"/>
      <c r="H4" s="2"/>
      <c r="I4" s="2" t="str">
        <f>TRIM(CLEAN(SUBSTITUTE(A4,CHAR(10)," ")))</f>
        <v>SANAS US TRADING LLC</v>
      </c>
      <c r="J4" s="2" t="str">
        <f>TRIM(CLEAN(SUBSTITUTE(B4,CHAR(10)," ")))</f>
        <v>1605 PRIMROSE PL</v>
      </c>
      <c r="K4" s="3" t="str">
        <f>PROPER(TRIM(C4))</f>
        <v>Allen</v>
      </c>
      <c r="L4" t="str">
        <f>UPPER(LEFT(TRIM(D4),2))</f>
        <v>TX</v>
      </c>
      <c r="M4">
        <f>IF(OR(UPPER(E4)="UNITED STATES",UPPER(E4)="UNITED STATES OF AMERICA",UPPER(E4)="US",UPPER(E4)="USA"),"USA",E4)</f>
        <v>0</v>
      </c>
      <c r="N4" t="str" cm="1">
        <f t="array" ref="N4">_xlfn.REGEXEXTRACT(F4,"\d{5}")</f>
        <v>75002</v>
      </c>
    </row>
    <row r="5" spans="1:14" ht="24" x14ac:dyDescent="0.15">
      <c r="A5" s="2" t="s">
        <v>416</v>
      </c>
      <c r="B5" s="2" t="s">
        <v>417</v>
      </c>
      <c r="C5" s="2" t="s">
        <v>418</v>
      </c>
      <c r="D5" s="2" t="s">
        <v>20</v>
      </c>
      <c r="E5" s="2" t="s">
        <v>10</v>
      </c>
      <c r="F5" s="2" t="s">
        <v>419</v>
      </c>
      <c r="G5" s="2"/>
      <c r="H5" s="2"/>
      <c r="I5" s="2" t="str">
        <f>TRIM(CLEAN(SUBSTITUTE(A5,CHAR(10)," ")))</f>
        <v>Gulser's kitchen</v>
      </c>
      <c r="J5" s="2" t="str">
        <f>TRIM(CLEAN(SUBSTITUTE(B5,CHAR(10)," ")))</f>
        <v>405 W Main St</v>
      </c>
      <c r="K5" s="3" t="str">
        <f>PROPER(TRIM(C5))</f>
        <v>Allen</v>
      </c>
      <c r="L5" t="str">
        <f>UPPER(LEFT(TRIM(D5),2))</f>
        <v>TX</v>
      </c>
      <c r="M5" t="str">
        <f>IF(OR(UPPER(E5)="UNITED STATES",UPPER(E5)="UNITED STATES OF AMERICA",UPPER(E5)="US",UPPER(E5)="USA"),"USA",E5)</f>
        <v>USA</v>
      </c>
      <c r="N5" t="str" cm="1">
        <f t="array" ref="N5">_xlfn.REGEXEXTRACT(F5,"\d{5}")</f>
        <v>75013</v>
      </c>
    </row>
    <row r="6" spans="1:14" ht="24" x14ac:dyDescent="0.15">
      <c r="A6" s="2" t="s">
        <v>1245</v>
      </c>
      <c r="B6" s="2" t="s">
        <v>1246</v>
      </c>
      <c r="C6" s="2" t="s">
        <v>386</v>
      </c>
      <c r="D6" s="2" t="s">
        <v>20</v>
      </c>
      <c r="E6" s="2" t="s">
        <v>10</v>
      </c>
      <c r="F6" s="2" t="s">
        <v>1247</v>
      </c>
      <c r="G6" s="2"/>
      <c r="H6" s="2"/>
      <c r="I6" s="2" t="str">
        <f>TRIM(CLEAN(SUBSTITUTE(A6,CHAR(10)," ")))</f>
        <v>REGIONS STATION</v>
      </c>
      <c r="J6" s="2" t="str">
        <f>TRIM(CLEAN(SUBSTITUTE(B6,CHAR(10)," ")))</f>
        <v>1737 Vidalia st</v>
      </c>
      <c r="K6" s="3" t="str">
        <f>PROPER(TRIM(C6))</f>
        <v>Amarillo</v>
      </c>
      <c r="L6" t="str">
        <f>UPPER(LEFT(TRIM(D6),2))</f>
        <v>TX</v>
      </c>
      <c r="M6" t="str">
        <f>IF(OR(UPPER(E6)="UNITED STATES",UPPER(E6)="UNITED STATES OF AMERICA",UPPER(E6)="US",UPPER(E6)="USA"),"USA",E6)</f>
        <v>USA</v>
      </c>
      <c r="N6" t="str" cm="1">
        <f t="array" ref="N6">_xlfn.REGEXEXTRACT(F6,"\d{5}")</f>
        <v>79118</v>
      </c>
    </row>
    <row r="7" spans="1:14" x14ac:dyDescent="0.15">
      <c r="A7" s="2" t="s">
        <v>384</v>
      </c>
      <c r="B7" s="2" t="s">
        <v>385</v>
      </c>
      <c r="C7" s="2" t="s">
        <v>386</v>
      </c>
      <c r="D7" s="2" t="s">
        <v>20</v>
      </c>
      <c r="E7" s="2" t="s">
        <v>152</v>
      </c>
      <c r="F7" s="2" t="s">
        <v>387</v>
      </c>
      <c r="G7" s="2"/>
      <c r="H7" s="2"/>
      <c r="I7" s="2" t="str">
        <f>TRIM(CLEAN(SUBSTITUTE(A7,CHAR(10)," ")))</f>
        <v>EYEL Kitchen</v>
      </c>
      <c r="J7" s="2" t="str">
        <f>TRIM(CLEAN(SUBSTITUTE(B7,CHAR(10)," ")))</f>
        <v>6041 west i 40</v>
      </c>
      <c r="K7" s="3" t="str">
        <f>PROPER(TRIM(C7))</f>
        <v>Amarillo</v>
      </c>
      <c r="L7" t="str">
        <f>UPPER(LEFT(TRIM(D7),2))</f>
        <v>TX</v>
      </c>
      <c r="M7" t="str">
        <f>IF(OR(UPPER(E7)="UNITED STATES",UPPER(E7)="UNITED STATES OF AMERICA",UPPER(E7)="US",UPPER(E7)="USA"),"USA",E7)</f>
        <v>USA</v>
      </c>
      <c r="N7" t="str" cm="1">
        <f t="array" ref="N7">_xlfn.REGEXEXTRACT(F7,"\d{5}")</f>
        <v>79106</v>
      </c>
    </row>
    <row r="8" spans="1:14" ht="24" x14ac:dyDescent="0.15">
      <c r="A8" s="2" t="s">
        <v>473</v>
      </c>
      <c r="B8" s="2" t="s">
        <v>474</v>
      </c>
      <c r="C8" s="2" t="s">
        <v>368</v>
      </c>
      <c r="D8" s="2" t="s">
        <v>20</v>
      </c>
      <c r="E8" s="2" t="s">
        <v>10</v>
      </c>
      <c r="F8" s="2" t="s">
        <v>437</v>
      </c>
      <c r="G8" s="2"/>
      <c r="H8" s="2"/>
      <c r="I8" s="2" t="str">
        <f>TRIM(CLEAN(SUBSTITUTE(A8,CHAR(10)," ")))</f>
        <v>International Food Land</v>
      </c>
      <c r="J8" s="2" t="str">
        <f>TRIM(CLEAN(SUBSTITUTE(B8,CHAR(10)," ")))</f>
        <v>1729 S Cooper St</v>
      </c>
      <c r="K8" s="3" t="str">
        <f>PROPER(TRIM(C8))</f>
        <v>Arlington</v>
      </c>
      <c r="L8" t="str">
        <f>UPPER(LEFT(TRIM(D8),2))</f>
        <v>TX</v>
      </c>
      <c r="M8" t="str">
        <f>IF(OR(UPPER(E8)="UNITED STATES",UPPER(E8)="UNITED STATES OF AMERICA",UPPER(E8)="US",UPPER(E8)="USA"),"USA",E8)</f>
        <v>USA</v>
      </c>
      <c r="N8" t="str" cm="1">
        <f t="array" ref="N8">_xlfn.REGEXEXTRACT(F8,"\d{5}")</f>
        <v>76010</v>
      </c>
    </row>
    <row r="9" spans="1:14" ht="48" x14ac:dyDescent="0.15">
      <c r="A9" s="2" t="s">
        <v>540</v>
      </c>
      <c r="B9" s="2" t="s">
        <v>541</v>
      </c>
      <c r="C9" s="2" t="s">
        <v>542</v>
      </c>
      <c r="D9" s="2" t="s">
        <v>20</v>
      </c>
      <c r="E9" s="2" t="s">
        <v>10</v>
      </c>
      <c r="F9" s="2" t="s">
        <v>472</v>
      </c>
      <c r="G9" s="2"/>
      <c r="H9" s="2"/>
      <c r="I9" s="2" t="str">
        <f>TRIM(CLEAN(SUBSTITUTE(A9,CHAR(10)," ")))</f>
        <v>PETRA INTERNATIONAL MARKET</v>
      </c>
      <c r="J9" s="2" t="str">
        <f>TRIM(CLEAN(SUBSTITUTE(B9,CHAR(10)," ")))</f>
        <v>4710 W SUBLETT RD,</v>
      </c>
      <c r="K9" s="3" t="str">
        <f>PROPER(TRIM(C9))</f>
        <v>Arlington</v>
      </c>
      <c r="L9" t="str">
        <f>UPPER(LEFT(TRIM(D9),2))</f>
        <v>TX</v>
      </c>
      <c r="M9" t="str">
        <f>IF(OR(UPPER(E9)="UNITED STATES",UPPER(E9)="UNITED STATES OF AMERICA",UPPER(E9)="US",UPPER(E9)="USA"),"USA",E9)</f>
        <v>USA</v>
      </c>
      <c r="N9" t="str" cm="1">
        <f t="array" ref="N9">_xlfn.REGEXEXTRACT(F9,"\d{5}")</f>
        <v>76017</v>
      </c>
    </row>
    <row r="10" spans="1:14" ht="48" x14ac:dyDescent="0.15">
      <c r="A10" s="2" t="s">
        <v>435</v>
      </c>
      <c r="B10" s="2" t="s">
        <v>436</v>
      </c>
      <c r="C10" s="2" t="s">
        <v>368</v>
      </c>
      <c r="D10" s="2" t="s">
        <v>20</v>
      </c>
      <c r="E10" s="2" t="s">
        <v>10</v>
      </c>
      <c r="F10" s="2" t="s">
        <v>437</v>
      </c>
      <c r="G10" s="2"/>
      <c r="H10" s="2"/>
      <c r="I10" s="2" t="str">
        <f>TRIM(CLEAN(SUBSTITUTE(A10,CHAR(10)," ")))</f>
        <v>Halal Import Food Market</v>
      </c>
      <c r="J10" s="2" t="str">
        <f>TRIM(CLEAN(SUBSTITUTE(B10,CHAR(10)," ")))</f>
        <v>701 E Pioneer Pkwy C, Arlington, TX 76010</v>
      </c>
      <c r="K10" s="3" t="str">
        <f>PROPER(TRIM(C10))</f>
        <v>Arlington</v>
      </c>
      <c r="L10" t="str">
        <f>UPPER(LEFT(TRIM(D10),2))</f>
        <v>TX</v>
      </c>
      <c r="M10" t="str">
        <f>IF(OR(UPPER(E10)="UNITED STATES",UPPER(E10)="UNITED STATES OF AMERICA",UPPER(E10)="US",UPPER(E10)="USA"),"USA",E10)</f>
        <v>USA</v>
      </c>
      <c r="N10" t="str" cm="1">
        <f t="array" ref="N10">_xlfn.REGEXEXTRACT(F10,"\d{5}")</f>
        <v>76010</v>
      </c>
    </row>
    <row r="11" spans="1:14" ht="60" x14ac:dyDescent="0.15">
      <c r="A11" s="2" t="s">
        <v>572</v>
      </c>
      <c r="B11" s="2" t="s">
        <v>573</v>
      </c>
      <c r="C11" s="2" t="s">
        <v>368</v>
      </c>
      <c r="D11" s="2" t="s">
        <v>20</v>
      </c>
      <c r="E11" s="2"/>
      <c r="F11" s="2" t="s">
        <v>369</v>
      </c>
      <c r="G11" s="2"/>
      <c r="H11" s="2"/>
      <c r="I11" s="2" t="str">
        <f>TRIM(CLEAN(SUBSTITUTE(A11,CHAR(10)," ")))</f>
        <v>SAFARI MEDITERRANEAN MARKET - ARLINGTON</v>
      </c>
      <c r="J11" s="2" t="str">
        <f>TRIM(CLEAN(SUBSTITUTE(B11,CHAR(10)," ")))</f>
        <v>7221 Matlock Rd #143</v>
      </c>
      <c r="K11" s="3" t="str">
        <f>PROPER(TRIM(C11))</f>
        <v>Arlington</v>
      </c>
      <c r="L11" t="str">
        <f>UPPER(LEFT(TRIM(D11),2))</f>
        <v>TX</v>
      </c>
      <c r="M11">
        <f>IF(OR(UPPER(E11)="UNITED STATES",UPPER(E11)="UNITED STATES OF AMERICA",UPPER(E11)="US",UPPER(E11)="USA"),"USA",E11)</f>
        <v>0</v>
      </c>
      <c r="N11" t="str" cm="1">
        <f t="array" ref="N11">_xlfn.REGEXEXTRACT(F11,"\d{5}")</f>
        <v>76002</v>
      </c>
    </row>
    <row r="12" spans="1:14" ht="24" x14ac:dyDescent="0.15">
      <c r="A12" s="2" t="s">
        <v>366</v>
      </c>
      <c r="B12" s="2" t="s">
        <v>367</v>
      </c>
      <c r="C12" s="2" t="s">
        <v>368</v>
      </c>
      <c r="D12" s="2" t="s">
        <v>20</v>
      </c>
      <c r="E12" s="2" t="s">
        <v>10</v>
      </c>
      <c r="F12" s="2" t="s">
        <v>369</v>
      </c>
      <c r="G12" s="2"/>
      <c r="H12" s="2"/>
      <c r="I12" s="2" t="str">
        <f>TRIM(CLEAN(SUBSTITUTE(A12,CHAR(10)," ")))</f>
        <v>Dynamite Grill</v>
      </c>
      <c r="J12" s="2" t="str">
        <f>TRIM(CLEAN(SUBSTITUTE(B12,CHAR(10)," ")))</f>
        <v>7401 Matlock Rd Suite 117</v>
      </c>
      <c r="K12" s="3" t="str">
        <f>PROPER(TRIM(C12))</f>
        <v>Arlington</v>
      </c>
      <c r="L12" t="str">
        <f>UPPER(LEFT(TRIM(D12),2))</f>
        <v>TX</v>
      </c>
      <c r="M12" t="str">
        <f>IF(OR(UPPER(E12)="UNITED STATES",UPPER(E12)="UNITED STATES OF AMERICA",UPPER(E12)="US",UPPER(E12)="USA"),"USA",E12)</f>
        <v>USA</v>
      </c>
      <c r="N12" t="str" cm="1">
        <f t="array" ref="N12">_xlfn.REGEXEXTRACT(F12,"\d{5}")</f>
        <v>76002</v>
      </c>
    </row>
    <row r="13" spans="1:14" ht="36" x14ac:dyDescent="0.15">
      <c r="A13" s="2" t="s">
        <v>470</v>
      </c>
      <c r="B13" s="2" t="s">
        <v>471</v>
      </c>
      <c r="C13" s="2" t="s">
        <v>368</v>
      </c>
      <c r="D13" s="2" t="s">
        <v>20</v>
      </c>
      <c r="E13" s="2" t="s">
        <v>10</v>
      </c>
      <c r="F13" s="2" t="s">
        <v>472</v>
      </c>
      <c r="G13" s="2"/>
      <c r="H13" s="2"/>
      <c r="I13" s="2" t="str">
        <f>TRIM(CLEAN(SUBSTITUTE(A13,CHAR(10)," ")))</f>
        <v>Indopak World Market Arlington</v>
      </c>
      <c r="J13" s="2" t="str">
        <f>TRIM(CLEAN(SUBSTITUTE(B13,CHAR(10)," ")))</f>
        <v>808 SW Green Oaks Blvd</v>
      </c>
      <c r="K13" s="3" t="str">
        <f>PROPER(TRIM(C13))</f>
        <v>Arlington</v>
      </c>
      <c r="L13" t="str">
        <f>UPPER(LEFT(TRIM(D13),2))</f>
        <v>TX</v>
      </c>
      <c r="M13" t="str">
        <f>IF(OR(UPPER(E13)="UNITED STATES",UPPER(E13)="UNITED STATES OF AMERICA",UPPER(E13)="US",UPPER(E13)="USA"),"USA",E13)</f>
        <v>USA</v>
      </c>
      <c r="N13" t="str" cm="1">
        <f t="array" ref="N13">_xlfn.REGEXEXTRACT(F13,"\d{5}")</f>
        <v>76017</v>
      </c>
    </row>
    <row r="14" spans="1:14" ht="24" x14ac:dyDescent="0.15">
      <c r="A14" s="2" t="s">
        <v>12</v>
      </c>
      <c r="B14" s="2" t="s">
        <v>13</v>
      </c>
      <c r="C14" s="2" t="s">
        <v>14</v>
      </c>
      <c r="D14" s="2" t="s">
        <v>15</v>
      </c>
      <c r="E14" s="2" t="s">
        <v>10</v>
      </c>
      <c r="F14" s="2" t="s">
        <v>16</v>
      </c>
      <c r="G14" s="2"/>
      <c r="H14" s="2"/>
      <c r="I14" s="2" t="str">
        <f>TRIM(CLEAN(SUBSTITUTE(A14,CHAR(10)," ")))</f>
        <v>48 philly's</v>
      </c>
      <c r="J14" s="2" t="str">
        <f>TRIM(CLEAN(SUBSTITUTE(B14,CHAR(10)," ")))</f>
        <v>913 w pioneer pkwy</v>
      </c>
      <c r="K14" s="3" t="str">
        <f>PROPER(TRIM(C14))</f>
        <v>Arlington</v>
      </c>
      <c r="L14" t="str">
        <f>UPPER(LEFT(TRIM(D14),2))</f>
        <v>TX</v>
      </c>
      <c r="M14" t="str">
        <f>IF(OR(UPPER(E14)="UNITED STATES",UPPER(E14)="UNITED STATES OF AMERICA",UPPER(E14)="US",UPPER(E14)="USA"),"USA",E14)</f>
        <v>USA</v>
      </c>
      <c r="N14" t="str" cm="1">
        <f t="array" ref="N14">_xlfn.REGEXEXTRACT(F14,"\d{5}")</f>
        <v>76013</v>
      </c>
    </row>
    <row r="15" spans="1:14" ht="36" x14ac:dyDescent="0.15">
      <c r="A15" s="2" t="s">
        <v>159</v>
      </c>
      <c r="B15" s="2" t="s">
        <v>160</v>
      </c>
      <c r="C15" s="2" t="s">
        <v>161</v>
      </c>
      <c r="D15" s="2" t="s">
        <v>20</v>
      </c>
      <c r="E15" s="2" t="s">
        <v>10</v>
      </c>
      <c r="F15" s="2" t="s">
        <v>162</v>
      </c>
      <c r="G15" s="2"/>
      <c r="H15" s="2"/>
      <c r="I15" s="2" t="str">
        <f>TRIM(CLEAN(SUBSTITUTE(A15,CHAR(10)," ")))</f>
        <v>Choke Cayon Travel CENTER</v>
      </c>
      <c r="J15" s="2" t="str">
        <f>TRIM(CLEAN(SUBSTITUTE(B15,CHAR(10)," ")))</f>
        <v>16565 Shepherd Rd</v>
      </c>
      <c r="K15" s="3" t="str">
        <f>PROPER(TRIM(C15))</f>
        <v>Atascosa</v>
      </c>
      <c r="L15" t="str">
        <f>UPPER(LEFT(TRIM(D15),2))</f>
        <v>TX</v>
      </c>
      <c r="M15" t="str">
        <f>IF(OR(UPPER(E15)="UNITED STATES",UPPER(E15)="UNITED STATES OF AMERICA",UPPER(E15)="US",UPPER(E15)="USA"),"USA",E15)</f>
        <v>USA</v>
      </c>
      <c r="N15" t="str" cm="1">
        <f t="array" ref="N15">_xlfn.REGEXEXTRACT(F15,"\d{5}")</f>
        <v>78002</v>
      </c>
    </row>
    <row r="16" spans="1:14" ht="36" x14ac:dyDescent="0.15">
      <c r="A16" s="2" t="s">
        <v>330</v>
      </c>
      <c r="B16" s="2" t="s">
        <v>331</v>
      </c>
      <c r="C16" s="2" t="s">
        <v>332</v>
      </c>
      <c r="D16" s="2" t="s">
        <v>20</v>
      </c>
      <c r="E16" s="2" t="s">
        <v>10</v>
      </c>
      <c r="F16" s="2" t="s">
        <v>333</v>
      </c>
      <c r="G16" s="2"/>
      <c r="H16" s="2"/>
      <c r="I16" s="2" t="str">
        <f>TRIM(CLEAN(SUBSTITUTE(A16,CHAR(10)," ")))</f>
        <v>DESI CHOWRASTA-Aubrey</v>
      </c>
      <c r="J16" s="2" t="str">
        <f>TRIM(CLEAN(SUBSTITUTE(B16,CHAR(10)," ")))</f>
        <v>2965 FM1385</v>
      </c>
      <c r="K16" s="3" t="str">
        <f>PROPER(TRIM(C16))</f>
        <v>Aubrey</v>
      </c>
      <c r="L16" t="str">
        <f>UPPER(LEFT(TRIM(D16),2))</f>
        <v>TX</v>
      </c>
      <c r="M16" t="str">
        <f>IF(OR(UPPER(E16)="UNITED STATES",UPPER(E16)="UNITED STATES OF AMERICA",UPPER(E16)="US",UPPER(E16)="USA"),"USA",E16)</f>
        <v>USA</v>
      </c>
      <c r="N16" t="str" cm="1">
        <f t="array" ref="N16">_xlfn.REGEXEXTRACT(F16,"\d{5}")</f>
        <v>76227</v>
      </c>
    </row>
    <row r="17" spans="1:14" ht="48" x14ac:dyDescent="0.15">
      <c r="A17" s="2" t="s">
        <v>117</v>
      </c>
      <c r="B17" s="2" t="s">
        <v>118</v>
      </c>
      <c r="C17" s="2" t="s">
        <v>74</v>
      </c>
      <c r="D17" s="2" t="s">
        <v>20</v>
      </c>
      <c r="E17" s="2" t="s">
        <v>10</v>
      </c>
      <c r="F17" s="2" t="s">
        <v>63</v>
      </c>
      <c r="G17" s="2"/>
      <c r="H17" s="2"/>
      <c r="I17" s="2" t="str">
        <f>TRIM(CLEAN(SUBSTITUTE(A17,CHAR(10)," ")))</f>
        <v>International foods (Cozmo)</v>
      </c>
      <c r="J17" s="2" t="str">
        <f>TRIM(CLEAN(SUBSTITUTE(B17,CHAR(10)," ")))</f>
        <v>11331 N Lamar Blvd, Austin, TX 78753</v>
      </c>
      <c r="K17" s="3" t="str">
        <f>PROPER(TRIM(C17))</f>
        <v>Austin</v>
      </c>
      <c r="L17" t="str">
        <f>UPPER(LEFT(TRIM(D17),2))</f>
        <v>TX</v>
      </c>
      <c r="M17" t="str">
        <f>IF(OR(UPPER(E17)="UNITED STATES",UPPER(E17)="UNITED STATES OF AMERICA",UPPER(E17)="US",UPPER(E17)="USA"),"USA",E17)</f>
        <v>USA</v>
      </c>
      <c r="N17" t="str" cm="1">
        <f t="array" ref="N17">_xlfn.REGEXEXTRACT(F17,"\d{5}")</f>
        <v>78753</v>
      </c>
    </row>
    <row r="18" spans="1:14" ht="24" x14ac:dyDescent="0.15">
      <c r="A18" s="2" t="s">
        <v>110</v>
      </c>
      <c r="B18" s="2" t="s">
        <v>111</v>
      </c>
      <c r="C18" s="2" t="s">
        <v>74</v>
      </c>
      <c r="D18" s="2" t="s">
        <v>20</v>
      </c>
      <c r="E18" s="2" t="s">
        <v>10</v>
      </c>
      <c r="F18" s="2" t="s">
        <v>87</v>
      </c>
      <c r="G18" s="2"/>
      <c r="H18" s="2"/>
      <c r="I18" s="2" t="str">
        <f>TRIM(CLEAN(SUBSTITUTE(A18,CHAR(10)," ")))</f>
        <v>Global foodland</v>
      </c>
      <c r="J18" s="2" t="str">
        <f>TRIM(CLEAN(SUBSTITUTE(B18,CHAR(10)," ")))</f>
        <v>11501 Menchaca Rd</v>
      </c>
      <c r="K18" s="3" t="str">
        <f>PROPER(TRIM(C18))</f>
        <v>Austin</v>
      </c>
      <c r="L18" t="str">
        <f>UPPER(LEFT(TRIM(D18),2))</f>
        <v>TX</v>
      </c>
      <c r="M18" t="str">
        <f>IF(OR(UPPER(E18)="UNITED STATES",UPPER(E18)="UNITED STATES OF AMERICA",UPPER(E18)="US",UPPER(E18)="USA"),"USA",E18)</f>
        <v>USA</v>
      </c>
      <c r="N18" t="str" cm="1">
        <f t="array" ref="N18">_xlfn.REGEXEXTRACT(F18,"\d{5}")</f>
        <v>78748</v>
      </c>
    </row>
    <row r="19" spans="1:14" ht="24" x14ac:dyDescent="0.15">
      <c r="A19" s="2"/>
      <c r="B19" s="2" t="s">
        <v>73</v>
      </c>
      <c r="C19" s="2" t="s">
        <v>74</v>
      </c>
      <c r="D19" s="2" t="s">
        <v>20</v>
      </c>
      <c r="E19" s="2"/>
      <c r="F19" s="2" t="s">
        <v>75</v>
      </c>
      <c r="G19" s="2"/>
      <c r="H19" s="2"/>
      <c r="I19" s="2" t="str">
        <f>TRIM(CLEAN(SUBSTITUTE(A19,CHAR(10)," ")))</f>
        <v/>
      </c>
      <c r="J19" s="2" t="str">
        <f>TRIM(CLEAN(SUBSTITUTE(B19,CHAR(10)," ")))</f>
        <v>11905 Viscaya Way</v>
      </c>
      <c r="K19" s="3" t="str">
        <f>PROPER(TRIM(C19))</f>
        <v>Austin</v>
      </c>
      <c r="L19" t="str">
        <f>UPPER(LEFT(TRIM(D19),2))</f>
        <v>TX</v>
      </c>
      <c r="M19">
        <f>IF(OR(UPPER(E19)="UNITED STATES",UPPER(E19)="UNITED STATES OF AMERICA",UPPER(E19)="US",UPPER(E19)="USA"),"USA",E19)</f>
        <v>0</v>
      </c>
      <c r="N19" t="str" cm="1">
        <f t="array" ref="N19">_xlfn.REGEXEXTRACT(F19,"\d{5}")</f>
        <v>78726</v>
      </c>
    </row>
    <row r="20" spans="1:14" ht="24" x14ac:dyDescent="0.15">
      <c r="A20" s="2" t="s">
        <v>100</v>
      </c>
      <c r="B20" s="2" t="s">
        <v>101</v>
      </c>
      <c r="C20" s="2" t="s">
        <v>74</v>
      </c>
      <c r="D20" s="2" t="s">
        <v>102</v>
      </c>
      <c r="E20" s="2" t="s">
        <v>10</v>
      </c>
      <c r="F20" s="2" t="s">
        <v>103</v>
      </c>
      <c r="G20" s="2"/>
      <c r="H20" s="2"/>
      <c r="I20" s="2" t="str">
        <f>TRIM(CLEAN(SUBSTITUTE(A20,CHAR(10)," ")))</f>
        <v>Almarah Food - Austin</v>
      </c>
      <c r="J20" s="2" t="str">
        <f>TRIM(CLEAN(SUBSTITUTE(B20,CHAR(10)," ")))</f>
        <v>12129 RR 620 N</v>
      </c>
      <c r="K20" s="3" t="str">
        <f>PROPER(TRIM(C20))</f>
        <v>Austin</v>
      </c>
      <c r="L20" s="8" t="s">
        <v>20</v>
      </c>
      <c r="M20" t="str">
        <f>IF(OR(UPPER(E20)="UNITED STATES",UPPER(E20)="UNITED STATES OF AMERICA",UPPER(E20)="US",UPPER(E20)="USA"),"USA",E20)</f>
        <v>USA</v>
      </c>
      <c r="N20" t="str" cm="1">
        <f t="array" ref="N20">_xlfn.REGEXEXTRACT(F20,"\d{5}")</f>
        <v>78750</v>
      </c>
    </row>
    <row r="21" spans="1:14" ht="36" x14ac:dyDescent="0.15">
      <c r="A21" s="2" t="s">
        <v>115</v>
      </c>
      <c r="B21" s="2" t="s">
        <v>116</v>
      </c>
      <c r="C21" s="2" t="s">
        <v>74</v>
      </c>
      <c r="D21" s="2" t="s">
        <v>20</v>
      </c>
      <c r="E21" s="2" t="s">
        <v>95</v>
      </c>
      <c r="F21" s="2" t="s">
        <v>90</v>
      </c>
      <c r="G21" s="2"/>
      <c r="H21" s="2"/>
      <c r="I21" s="2" t="str">
        <f>TRIM(CLEAN(SUBSTITUTE(A21,CHAR(10)," ")))</f>
        <v>Halal On Fire (Turhan food llc)</v>
      </c>
      <c r="J21" s="2" t="str">
        <f>TRIM(CLEAN(SUBSTITUTE(B21,CHAR(10)," ")))</f>
        <v>13201 Pond Springs Rd, #103</v>
      </c>
      <c r="K21" s="3" t="str">
        <f>PROPER(TRIM(C21))</f>
        <v>Austin</v>
      </c>
      <c r="L21" t="str">
        <f>UPPER(LEFT(TRIM(D21),2))</f>
        <v>TX</v>
      </c>
      <c r="M21" t="str">
        <f>IF(OR(UPPER(E21)="UNITED STATES",UPPER(E21)="UNITED STATES OF AMERICA",UPPER(E21)="US",UPPER(E21)="USA"),"USA",E21)</f>
        <v>USA</v>
      </c>
      <c r="N21" t="str" cm="1">
        <f t="array" ref="N21">_xlfn.REGEXEXTRACT(F21,"\d{5}")</f>
        <v>78729</v>
      </c>
    </row>
    <row r="22" spans="1:14" ht="36" x14ac:dyDescent="0.15">
      <c r="A22" s="2" t="s">
        <v>125</v>
      </c>
      <c r="B22" s="2" t="s">
        <v>126</v>
      </c>
      <c r="C22" s="2" t="s">
        <v>93</v>
      </c>
      <c r="D22" s="2" t="s">
        <v>20</v>
      </c>
      <c r="E22" s="2" t="s">
        <v>10</v>
      </c>
      <c r="F22" s="2" t="s">
        <v>127</v>
      </c>
      <c r="G22" s="2"/>
      <c r="H22" s="2"/>
      <c r="I22" s="2" t="str">
        <f>TRIM(CLEAN(SUBSTITUTE(A22,CHAR(10)," ")))</f>
        <v>Phoenicia Bakery &amp; Deli -AUSTIN</v>
      </c>
      <c r="J22" s="2" t="str">
        <f>TRIM(CLEAN(SUBSTITUTE(B22,CHAR(10)," ")))</f>
        <v>2912 S Lamar Blvd,</v>
      </c>
      <c r="K22" s="3" t="str">
        <f>PROPER(TRIM(C22))</f>
        <v>Austin</v>
      </c>
      <c r="L22" t="str">
        <f>UPPER(LEFT(TRIM(D22),2))</f>
        <v>TX</v>
      </c>
      <c r="M22" t="str">
        <f>IF(OR(UPPER(E22)="UNITED STATES",UPPER(E22)="UNITED STATES OF AMERICA",UPPER(E22)="US",UPPER(E22)="USA"),"USA",E22)</f>
        <v>USA</v>
      </c>
      <c r="N22" t="str" cm="1">
        <f t="array" ref="N22">_xlfn.REGEXEXTRACT(F22,"\d{5}")</f>
        <v>78704</v>
      </c>
    </row>
    <row r="23" spans="1:14" ht="24" x14ac:dyDescent="0.15">
      <c r="A23" s="2" t="s">
        <v>76</v>
      </c>
      <c r="B23" s="2" t="s">
        <v>77</v>
      </c>
      <c r="C23" s="2" t="s">
        <v>74</v>
      </c>
      <c r="D23" s="2" t="s">
        <v>20</v>
      </c>
      <c r="E23" s="2" t="s">
        <v>10</v>
      </c>
      <c r="F23" s="2" t="s">
        <v>78</v>
      </c>
      <c r="G23" s="2"/>
      <c r="H23" s="2"/>
      <c r="I23" s="2" t="str">
        <f>TRIM(CLEAN(SUBSTITUTE(A23,CHAR(10)," ")))</f>
        <v>Mealbux</v>
      </c>
      <c r="J23" s="2" t="str">
        <f>TRIM(CLEAN(SUBSTITUTE(B23,CHAR(10)," ")))</f>
        <v>3301 Steck Ave STE 106</v>
      </c>
      <c r="K23" s="3" t="str">
        <f>PROPER(TRIM(C23))</f>
        <v>Austin</v>
      </c>
      <c r="L23" t="str">
        <f>UPPER(LEFT(TRIM(D23),2))</f>
        <v>TX</v>
      </c>
      <c r="M23" t="str">
        <f>IF(OR(UPPER(E23)="UNITED STATES",UPPER(E23)="UNITED STATES OF AMERICA",UPPER(E23)="US",UPPER(E23)="USA"),"USA",E23)</f>
        <v>USA</v>
      </c>
      <c r="N23" t="str" cm="1">
        <f t="array" ref="N23">_xlfn.REGEXEXTRACT(F23,"\d{5}")</f>
        <v>78757</v>
      </c>
    </row>
    <row r="24" spans="1:14" ht="60" x14ac:dyDescent="0.15">
      <c r="A24" s="2" t="s">
        <v>504</v>
      </c>
      <c r="B24" s="2" t="s">
        <v>505</v>
      </c>
      <c r="C24" s="2" t="s">
        <v>506</v>
      </c>
      <c r="D24" s="2" t="s">
        <v>507</v>
      </c>
      <c r="E24" s="2" t="s">
        <v>10</v>
      </c>
      <c r="F24" s="2" t="s">
        <v>477</v>
      </c>
      <c r="G24" s="2"/>
      <c r="H24" s="2"/>
      <c r="I24" s="2" t="str">
        <f>TRIM(CLEAN(SUBSTITUTE(A24,CHAR(10)," ")))</f>
        <v>Le french kabab ( MAYFAIR GARDEN TEXAS LLC)</v>
      </c>
      <c r="J24" s="2" t="str">
        <f>TRIM(CLEAN(SUBSTITUTE(B24,CHAR(10)," ")))</f>
        <v>3900 balcones dr</v>
      </c>
      <c r="K24" s="3" t="str">
        <f>PROPER(TRIM(C24))</f>
        <v>Austin</v>
      </c>
      <c r="L24" s="8" t="s">
        <v>20</v>
      </c>
      <c r="M24" t="str">
        <f>IF(OR(UPPER(E24)="UNITED STATES",UPPER(E24)="UNITED STATES OF AMERICA",UPPER(E24)="US",UPPER(E24)="USA"),"USA",E24)</f>
        <v>USA</v>
      </c>
      <c r="N24" t="str" cm="1">
        <f t="array" ref="N24">_xlfn.REGEXEXTRACT(F24,"\d{5}")</f>
        <v>78731</v>
      </c>
    </row>
    <row r="25" spans="1:14" ht="36" x14ac:dyDescent="0.15">
      <c r="A25" s="2" t="s">
        <v>475</v>
      </c>
      <c r="B25" s="2" t="s">
        <v>476</v>
      </c>
      <c r="C25" s="2" t="s">
        <v>93</v>
      </c>
      <c r="D25" s="2" t="s">
        <v>20</v>
      </c>
      <c r="E25" s="2" t="s">
        <v>10</v>
      </c>
      <c r="F25" s="2" t="s">
        <v>477</v>
      </c>
      <c r="G25" s="2"/>
      <c r="H25" s="2"/>
      <c r="I25" s="2" t="str">
        <f>TRIM(CLEAN(SUBSTITUTE(A25,CHAR(10)," ")))</f>
        <v>IQ MADEN LLC</v>
      </c>
      <c r="J25" s="2" t="str">
        <f>TRIM(CLEAN(SUBSTITUTE(B25,CHAR(10)," ")))</f>
        <v>5900 BALCONES DR ,ste 100</v>
      </c>
      <c r="K25" s="3" t="str">
        <f>PROPER(TRIM(C25))</f>
        <v>Austin</v>
      </c>
      <c r="L25" t="str">
        <f>UPPER(LEFT(TRIM(D25),2))</f>
        <v>TX</v>
      </c>
      <c r="M25" t="str">
        <f>IF(OR(UPPER(E25)="UNITED STATES",UPPER(E25)="UNITED STATES OF AMERICA",UPPER(E25)="US",UPPER(E25)="USA"),"USA",E25)</f>
        <v>USA</v>
      </c>
      <c r="N25" t="str" cm="1">
        <f t="array" ref="N25">_xlfn.REGEXEXTRACT(F25,"\d{5}")</f>
        <v>78731</v>
      </c>
    </row>
    <row r="26" spans="1:14" ht="24" x14ac:dyDescent="0.15">
      <c r="A26" s="2" t="s">
        <v>88</v>
      </c>
      <c r="B26" s="2" t="s">
        <v>89</v>
      </c>
      <c r="C26" s="2" t="s">
        <v>74</v>
      </c>
      <c r="D26" s="2" t="s">
        <v>20</v>
      </c>
      <c r="E26" s="2" t="s">
        <v>10</v>
      </c>
      <c r="F26" s="2" t="s">
        <v>90</v>
      </c>
      <c r="G26" s="2"/>
      <c r="H26" s="2"/>
      <c r="I26" s="2" t="str">
        <f>TRIM(CLEAN(SUBSTITUTE(A26,CHAR(10)," ")))</f>
        <v>CONRAN LLC</v>
      </c>
      <c r="J26" s="2" t="str">
        <f>TRIM(CLEAN(SUBSTITUTE(B26,CHAR(10)," ")))</f>
        <v>8325 osborne dr</v>
      </c>
      <c r="K26" s="3" t="str">
        <f>PROPER(TRIM(C26))</f>
        <v>Austin</v>
      </c>
      <c r="L26" t="str">
        <f>UPPER(LEFT(TRIM(D26),2))</f>
        <v>TX</v>
      </c>
      <c r="M26" t="str">
        <f>IF(OR(UPPER(E26)="UNITED STATES",UPPER(E26)="UNITED STATES OF AMERICA",UPPER(E26)="US",UPPER(E26)="USA"),"USA",E26)</f>
        <v>USA</v>
      </c>
      <c r="N26" t="str" cm="1">
        <f t="array" ref="N26">_xlfn.REGEXEXTRACT(F26,"\d{5}")</f>
        <v>78729</v>
      </c>
    </row>
    <row r="27" spans="1:14" ht="24" x14ac:dyDescent="0.15">
      <c r="A27" s="2" t="s">
        <v>85</v>
      </c>
      <c r="B27" s="2" t="s">
        <v>86</v>
      </c>
      <c r="C27" s="2" t="s">
        <v>74</v>
      </c>
      <c r="D27" s="2" t="s">
        <v>20</v>
      </c>
      <c r="E27" s="2"/>
      <c r="F27" s="2" t="s">
        <v>87</v>
      </c>
      <c r="G27" s="2"/>
      <c r="H27" s="2"/>
      <c r="I27" s="2" t="str">
        <f>TRIM(CLEAN(SUBSTITUTE(A27,CHAR(10)," ")))</f>
        <v>Olive and Fire LLC</v>
      </c>
      <c r="J27" s="2" t="str">
        <f>TRIM(CLEAN(SUBSTITUTE(B27,CHAR(10)," ")))</f>
        <v>9400 hunter lane</v>
      </c>
      <c r="K27" s="3" t="str">
        <f>PROPER(TRIM(C27))</f>
        <v>Austin</v>
      </c>
      <c r="L27" t="str">
        <f>UPPER(LEFT(TRIM(D27),2))</f>
        <v>TX</v>
      </c>
      <c r="M27">
        <f>IF(OR(UPPER(E27)="UNITED STATES",UPPER(E27)="UNITED STATES OF AMERICA",UPPER(E27)="US",UPPER(E27)="USA"),"USA",E27)</f>
        <v>0</v>
      </c>
      <c r="N27" t="str" cm="1">
        <f t="array" ref="N27">_xlfn.REGEXEXTRACT(F27,"\d{5}")</f>
        <v>78748</v>
      </c>
    </row>
    <row r="28" spans="1:14" ht="24" x14ac:dyDescent="0.15">
      <c r="A28" s="2" t="s">
        <v>1374</v>
      </c>
      <c r="B28" s="2" t="s">
        <v>1375</v>
      </c>
      <c r="C28" s="2" t="s">
        <v>74</v>
      </c>
      <c r="D28" s="2" t="s">
        <v>20</v>
      </c>
      <c r="E28" s="2" t="s">
        <v>10</v>
      </c>
      <c r="F28" s="2" t="s">
        <v>87</v>
      </c>
      <c r="G28" s="2"/>
      <c r="H28" s="2"/>
      <c r="I28" s="2" t="str">
        <f>TRIM(CLEAN(SUBSTITUTE(A28,CHAR(10)," ")))</f>
        <v>Chef truck LLC</v>
      </c>
      <c r="J28" s="2" t="str">
        <f>TRIM(CLEAN(SUBSTITUTE(B28,CHAR(10)," ")))</f>
        <v>9400 Hunter lane</v>
      </c>
      <c r="K28" s="3" t="str">
        <f>PROPER(TRIM(C28))</f>
        <v>Austin</v>
      </c>
      <c r="L28" t="str">
        <f>UPPER(LEFT(TRIM(D28),2))</f>
        <v>TX</v>
      </c>
      <c r="M28" t="str">
        <f>IF(OR(UPPER(E28)="UNITED STATES",UPPER(E28)="UNITED STATES OF AMERICA",UPPER(E28)="US",UPPER(E28)="USA"),"USA",E28)</f>
        <v>USA</v>
      </c>
      <c r="N28" t="str" cm="1">
        <f t="array" ref="N28">_xlfn.REGEXEXTRACT(F28,"\d{5}")</f>
        <v>78748</v>
      </c>
    </row>
    <row r="29" spans="1:14" ht="60" x14ac:dyDescent="0.15">
      <c r="A29" s="2" t="s">
        <v>1272</v>
      </c>
      <c r="B29" s="2" t="s">
        <v>1273</v>
      </c>
      <c r="C29" s="2" t="s">
        <v>74</v>
      </c>
      <c r="D29" s="2" t="s">
        <v>20</v>
      </c>
      <c r="E29" s="2" t="s">
        <v>10</v>
      </c>
      <c r="F29" s="2" t="s">
        <v>1274</v>
      </c>
      <c r="G29" s="2"/>
      <c r="H29" s="2"/>
      <c r="I29" s="2" t="str">
        <f>TRIM(CLEAN(SUBSTITUTE(A29,CHAR(10)," ")))</f>
        <v>Chako Food (Recep Bey)</v>
      </c>
      <c r="J29" s="2" t="str">
        <f>TRIM(CLEAN(SUBSTITUTE(B29,CHAR(10)," ")))</f>
        <v>Chakoo Pizza/Pizzaday 10225 Research Blvd #110</v>
      </c>
      <c r="K29" s="3" t="str">
        <f>PROPER(TRIM(C29))</f>
        <v>Austin</v>
      </c>
      <c r="L29" t="str">
        <f>UPPER(LEFT(TRIM(D29),2))</f>
        <v>TX</v>
      </c>
      <c r="M29" t="str">
        <f>IF(OR(UPPER(E29)="UNITED STATES",UPPER(E29)="UNITED STATES OF AMERICA",UPPER(E29)="US",UPPER(E29)="USA"),"USA",E29)</f>
        <v>USA</v>
      </c>
      <c r="N29" t="str" cm="1">
        <f t="array" ref="N29">_xlfn.REGEXEXTRACT(F29,"\d{5}")</f>
        <v>78759</v>
      </c>
    </row>
    <row r="30" spans="1:14" ht="60" x14ac:dyDescent="0.15">
      <c r="A30" s="2" t="s">
        <v>108</v>
      </c>
      <c r="B30" s="2" t="s">
        <v>109</v>
      </c>
      <c r="C30" s="2" t="s">
        <v>74</v>
      </c>
      <c r="D30" s="2" t="s">
        <v>20</v>
      </c>
      <c r="E30" s="2" t="s">
        <v>10</v>
      </c>
      <c r="F30" s="2" t="s">
        <v>63</v>
      </c>
      <c r="G30" s="2"/>
      <c r="H30" s="2"/>
      <c r="I30" s="2" t="str">
        <f>TRIM(CLEAN(SUBSTITUTE(A30,CHAR(10)," ")))</f>
        <v>Diwan Hookah and Cafe LLC</v>
      </c>
      <c r="J30" s="2" t="str">
        <f>TRIM(CLEAN(SUBSTITUTE(B30,CHAR(10)," ")))</f>
        <v>Service Road Sb, 11700 N Interstate Hwy 35 SVRD,</v>
      </c>
      <c r="K30" s="3" t="str">
        <f>PROPER(TRIM(C30))</f>
        <v>Austin</v>
      </c>
      <c r="L30" t="str">
        <f>UPPER(LEFT(TRIM(D30),2))</f>
        <v>TX</v>
      </c>
      <c r="M30" t="str">
        <f>IF(OR(UPPER(E30)="UNITED STATES",UPPER(E30)="UNITED STATES OF AMERICA",UPPER(E30)="US",UPPER(E30)="USA"),"USA",E30)</f>
        <v>USA</v>
      </c>
      <c r="N30" t="str" cm="1">
        <f t="array" ref="N30">_xlfn.REGEXEXTRACT(F30,"\d{5}")</f>
        <v>78753</v>
      </c>
    </row>
    <row r="31" spans="1:14" ht="72" x14ac:dyDescent="0.15">
      <c r="A31" s="2" t="s">
        <v>79</v>
      </c>
      <c r="B31" s="2" t="s">
        <v>80</v>
      </c>
      <c r="C31" s="2" t="s">
        <v>74</v>
      </c>
      <c r="D31" s="2" t="s">
        <v>20</v>
      </c>
      <c r="E31" s="2"/>
      <c r="F31" s="2" t="s">
        <v>81</v>
      </c>
      <c r="G31" s="2"/>
      <c r="H31" s="2"/>
      <c r="I31" s="2" t="str">
        <f>TRIM(CLEAN(SUBSTITUTE(A31,CHAR(10)," ")))</f>
        <v>Alamo City foods,Inc</v>
      </c>
      <c r="J31" s="2" t="str">
        <f>TRIM(CLEAN(SUBSTITUTE(B31,CHAR(10)," ")))</f>
        <v>The Triangle, 4700 W Guadalupe St Suite#9, Austin, TX 78751</v>
      </c>
      <c r="K31" s="3" t="str">
        <f>PROPER(TRIM(C31))</f>
        <v>Austin</v>
      </c>
      <c r="L31" t="str">
        <f>UPPER(LEFT(TRIM(D31),2))</f>
        <v>TX</v>
      </c>
      <c r="M31">
        <f>IF(OR(UPPER(E31)="UNITED STATES",UPPER(E31)="UNITED STATES OF AMERICA",UPPER(E31)="US",UPPER(E31)="USA"),"USA",E31)</f>
        <v>0</v>
      </c>
      <c r="N31" t="str" cm="1">
        <f t="array" ref="N31">_xlfn.REGEXEXTRACT(F31,"\d{5}")</f>
        <v>78751</v>
      </c>
    </row>
    <row r="32" spans="1:14" ht="24" x14ac:dyDescent="0.15">
      <c r="A32" s="2" t="s">
        <v>122</v>
      </c>
      <c r="B32" s="2" t="s">
        <v>123</v>
      </c>
      <c r="C32" s="2" t="s">
        <v>74</v>
      </c>
      <c r="D32" s="2" t="s">
        <v>102</v>
      </c>
      <c r="E32" s="2" t="s">
        <v>10</v>
      </c>
      <c r="F32" s="2" t="s">
        <v>124</v>
      </c>
      <c r="G32" s="2"/>
      <c r="H32" s="2"/>
      <c r="I32" s="2" t="str">
        <f>TRIM(CLEAN(SUBSTITUTE(A32,CHAR(10)," ")))</f>
        <v>Manpasand Supermarket</v>
      </c>
      <c r="J32" s="2" t="str">
        <f>TRIM(CLEAN(SUBSTITUTE(B32,CHAR(10)," ")))</f>
        <v>U.S. 183</v>
      </c>
      <c r="K32" s="3" t="str">
        <f>PROPER(TRIM(C32))</f>
        <v>Austin</v>
      </c>
      <c r="L32" s="8" t="s">
        <v>20</v>
      </c>
      <c r="M32" t="str">
        <f>IF(OR(UPPER(E32)="UNITED STATES",UPPER(E32)="UNITED STATES OF AMERICA",UPPER(E32)="US",UPPER(E32)="USA"),"USA",E32)</f>
        <v>USA</v>
      </c>
      <c r="N32" t="str" cm="1">
        <f t="array" ref="N32">_xlfn.REGEXEXTRACT(F32,"\d{5}")</f>
        <v>78717</v>
      </c>
    </row>
    <row r="33" spans="1:14" ht="36" x14ac:dyDescent="0.15">
      <c r="A33" s="2" t="s">
        <v>112</v>
      </c>
      <c r="B33" s="2" t="s">
        <v>113</v>
      </c>
      <c r="C33" s="2" t="s">
        <v>74</v>
      </c>
      <c r="D33" s="2" t="s">
        <v>102</v>
      </c>
      <c r="E33" s="2" t="s">
        <v>10</v>
      </c>
      <c r="F33" s="2" t="s">
        <v>114</v>
      </c>
      <c r="G33" s="2"/>
      <c r="H33" s="2"/>
      <c r="I33" s="2" t="str">
        <f>TRIM(CLEAN(SUBSTITUTE(A33,CHAR(10)," ")))</f>
        <v>Gyro Delicious Food Track</v>
      </c>
      <c r="J33" s="2" t="str">
        <f>TRIM(CLEAN(SUBSTITUTE(B33,CHAR(10)," ")))</f>
        <v>Whitis Avenue</v>
      </c>
      <c r="K33" s="3" t="str">
        <f>PROPER(TRIM(C33))</f>
        <v>Austin</v>
      </c>
      <c r="L33" s="8" t="s">
        <v>20</v>
      </c>
      <c r="M33" t="str">
        <f>IF(OR(UPPER(E33)="UNITED STATES",UPPER(E33)="UNITED STATES OF AMERICA",UPPER(E33)="US",UPPER(E33)="USA"),"USA",E33)</f>
        <v>USA</v>
      </c>
      <c r="N33" t="str" cm="1">
        <f t="array" ref="N33">_xlfn.REGEXEXTRACT(F33,"\d{5}")</f>
        <v>78705</v>
      </c>
    </row>
    <row r="34" spans="1:14" ht="36" x14ac:dyDescent="0.15">
      <c r="A34" s="2" t="s">
        <v>60</v>
      </c>
      <c r="B34" s="2" t="s">
        <v>61</v>
      </c>
      <c r="C34" s="2" t="s">
        <v>62</v>
      </c>
      <c r="D34" s="2" t="s">
        <v>20</v>
      </c>
      <c r="E34" s="2" t="s">
        <v>10</v>
      </c>
      <c r="F34" s="2" t="s">
        <v>63</v>
      </c>
      <c r="G34" s="2"/>
      <c r="H34" s="2"/>
      <c r="I34" s="2" t="str">
        <f>TRIM(CLEAN(SUBSTITUTE(A34,CHAR(10)," ")))</f>
        <v>ARWA Yemeni cafe Austine</v>
      </c>
      <c r="J34" s="2" t="str">
        <f>TRIM(CLEAN(SUBSTITUTE(B34,CHAR(10)," ")))</f>
        <v>11331 N Lamar Blvd, Austin, TX</v>
      </c>
      <c r="K34" s="3" t="str">
        <f>PROPER(TRIM(C34))</f>
        <v>Austine</v>
      </c>
      <c r="L34" t="str">
        <f>UPPER(LEFT(TRIM(D34),2))</f>
        <v>TX</v>
      </c>
      <c r="M34" t="str">
        <f>IF(OR(UPPER(E34)="UNITED STATES",UPPER(E34)="UNITED STATES OF AMERICA",UPPER(E34)="US",UPPER(E34)="USA"),"USA",E34)</f>
        <v>USA</v>
      </c>
      <c r="N34" t="str" cm="1">
        <f t="array" ref="N34">_xlfn.REGEXEXTRACT(F34,"\d{5}")</f>
        <v>78753</v>
      </c>
    </row>
    <row r="35" spans="1:14" ht="36" x14ac:dyDescent="0.15">
      <c r="A35" s="2" t="s">
        <v>1140</v>
      </c>
      <c r="B35" s="2" t="s">
        <v>1141</v>
      </c>
      <c r="C35" s="2" t="s">
        <v>57</v>
      </c>
      <c r="D35" s="2" t="s">
        <v>58</v>
      </c>
      <c r="E35" s="2" t="s">
        <v>10</v>
      </c>
      <c r="F35" s="2" t="s">
        <v>1142</v>
      </c>
      <c r="G35" s="2"/>
      <c r="H35" s="2"/>
      <c r="I35" s="2" t="str">
        <f>TRIM(CLEAN(SUBSTITUTE(A35,CHAR(10)," ")))</f>
        <v>A Z International Fine Foods</v>
      </c>
      <c r="J35" s="2" t="str">
        <f>TRIM(CLEAN(SUBSTITUTE(B35,CHAR(10)," ")))</f>
        <v>13461 Tiger Bend Rd</v>
      </c>
      <c r="K35" s="3" t="str">
        <f>PROPER(TRIM(C35))</f>
        <v>Baton Rouge</v>
      </c>
      <c r="L35" t="str">
        <f>UPPER(LEFT(TRIM(D35),2))</f>
        <v>LA</v>
      </c>
      <c r="M35" t="str">
        <f>IF(OR(UPPER(E35)="UNITED STATES",UPPER(E35)="UNITED STATES OF AMERICA",UPPER(E35)="US",UPPER(E35)="USA"),"USA",E35)</f>
        <v>USA</v>
      </c>
      <c r="N35" t="str" cm="1">
        <f t="array" ref="N35">_xlfn.REGEXEXTRACT(F35,"\d{5}")</f>
        <v>70817</v>
      </c>
    </row>
    <row r="36" spans="1:14" ht="24" x14ac:dyDescent="0.15">
      <c r="A36" s="2" t="s">
        <v>55</v>
      </c>
      <c r="B36" s="2" t="s">
        <v>56</v>
      </c>
      <c r="C36" s="2" t="s">
        <v>57</v>
      </c>
      <c r="D36" s="2" t="s">
        <v>58</v>
      </c>
      <c r="E36" s="2" t="s">
        <v>10</v>
      </c>
      <c r="F36" s="2" t="s">
        <v>59</v>
      </c>
      <c r="G36" s="2"/>
      <c r="H36" s="2"/>
      <c r="I36" s="2" t="str">
        <f>TRIM(CLEAN(SUBSTITUTE(A36,CHAR(10)," ")))</f>
        <v>Atlas foundation</v>
      </c>
      <c r="J36" s="2" t="str">
        <f>TRIM(CLEAN(SUBSTITUTE(B36,CHAR(10)," ")))</f>
        <v>862 O'Neal Ln</v>
      </c>
      <c r="K36" s="3" t="str">
        <f>PROPER(TRIM(C36))</f>
        <v>Baton Rouge</v>
      </c>
      <c r="L36" t="str">
        <f>UPPER(LEFT(TRIM(D36),2))</f>
        <v>LA</v>
      </c>
      <c r="M36" t="str">
        <f>IF(OR(UPPER(E36)="UNITED STATES",UPPER(E36)="UNITED STATES OF AMERICA",UPPER(E36)="US",UPPER(E36)="USA"),"USA",E36)</f>
        <v>USA</v>
      </c>
      <c r="N36" t="str" cm="1">
        <f t="array" ref="N36">_xlfn.REGEXEXTRACT(F36,"\d{5}")</f>
        <v>70816</v>
      </c>
    </row>
    <row r="37" spans="1:14" ht="36" x14ac:dyDescent="0.15">
      <c r="A37" s="2" t="s">
        <v>1234</v>
      </c>
      <c r="B37" s="2" t="s">
        <v>1235</v>
      </c>
      <c r="C37" s="2" t="s">
        <v>1236</v>
      </c>
      <c r="D37" s="2" t="s">
        <v>20</v>
      </c>
      <c r="E37" s="2" t="s">
        <v>10</v>
      </c>
      <c r="F37" s="2" t="s">
        <v>1237</v>
      </c>
      <c r="G37" s="2"/>
      <c r="H37" s="2"/>
      <c r="I37" s="2" t="str">
        <f>TRIM(CLEAN(SUBSTITUTE(A37,CHAR(10)," ")))</f>
        <v>PUMP N SHOP 54 (BAYTOWN)</v>
      </c>
      <c r="J37" s="2" t="str">
        <f>TRIM(CLEAN(SUBSTITUTE(B37,CHAR(10)," ")))</f>
        <v>2401 GARTH RD</v>
      </c>
      <c r="K37" s="3" t="str">
        <f>PROPER(TRIM(C37))</f>
        <v>Baytown</v>
      </c>
      <c r="L37" t="str">
        <f>UPPER(LEFT(TRIM(D37),2))</f>
        <v>TX</v>
      </c>
      <c r="M37" t="str">
        <f>IF(OR(UPPER(E37)="UNITED STATES",UPPER(E37)="UNITED STATES OF AMERICA",UPPER(E37)="US",UPPER(E37)="USA"),"USA",E37)</f>
        <v>USA</v>
      </c>
      <c r="N37" t="str" cm="1">
        <f t="array" ref="N37">_xlfn.REGEXEXTRACT(F37,"\d{5}")</f>
        <v>77520</v>
      </c>
    </row>
    <row r="38" spans="1:14" ht="24" x14ac:dyDescent="0.15">
      <c r="A38" s="2" t="s">
        <v>1227</v>
      </c>
      <c r="B38" s="2" t="s">
        <v>1228</v>
      </c>
      <c r="C38" s="2" t="s">
        <v>1229</v>
      </c>
      <c r="D38" s="2" t="s">
        <v>20</v>
      </c>
      <c r="E38" s="2" t="s">
        <v>10</v>
      </c>
      <c r="F38" s="2" t="s">
        <v>1230</v>
      </c>
      <c r="G38" s="2"/>
      <c r="H38" s="2"/>
      <c r="I38" s="2" t="str">
        <f>TRIM(CLEAN(SUBSTITUTE(A38,CHAR(10)," ")))</f>
        <v>Price &amp; Co</v>
      </c>
      <c r="J38" s="2" t="str">
        <f>TRIM(CLEAN(SUBSTITUTE(B38,CHAR(10)," ")))</f>
        <v>3530 W Cardinal Dr</v>
      </c>
      <c r="K38" s="3" t="str">
        <f>PROPER(TRIM(C38))</f>
        <v>Beaumont</v>
      </c>
      <c r="L38" t="str">
        <f>UPPER(LEFT(TRIM(D38),2))</f>
        <v>TX</v>
      </c>
      <c r="M38" t="str">
        <f>IF(OR(UPPER(E38)="UNITED STATES",UPPER(E38)="UNITED STATES OF AMERICA",UPPER(E38)="US",UPPER(E38)="USA"),"USA",E38)</f>
        <v>USA</v>
      </c>
      <c r="N38" t="str" cm="1">
        <f t="array" ref="N38">_xlfn.REGEXEXTRACT(F38,"\d{5}")</f>
        <v>77705</v>
      </c>
    </row>
    <row r="39" spans="1:14" ht="24" x14ac:dyDescent="0.15">
      <c r="A39" s="2" t="s">
        <v>490</v>
      </c>
      <c r="B39" s="2" t="s">
        <v>491</v>
      </c>
      <c r="C39" s="2" t="s">
        <v>492</v>
      </c>
      <c r="D39" s="2" t="s">
        <v>20</v>
      </c>
      <c r="E39" s="2" t="s">
        <v>10</v>
      </c>
      <c r="F39" s="2" t="s">
        <v>493</v>
      </c>
      <c r="G39" s="2"/>
      <c r="H39" s="2"/>
      <c r="I39" s="2" t="str">
        <f>TRIM(CLEAN(SUBSTITUTE(A39,CHAR(10)," ")))</f>
        <v>Kabul Pameer Halal Market</v>
      </c>
      <c r="J39" s="2" t="str">
        <f>TRIM(CLEAN(SUBSTITUTE(B39,CHAR(10)," ")))</f>
        <v>2200 Airport Fwy #540</v>
      </c>
      <c r="K39" s="3" t="str">
        <f>PROPER(TRIM(C39))</f>
        <v>Bedford</v>
      </c>
      <c r="L39" t="str">
        <f>UPPER(LEFT(TRIM(D39),2))</f>
        <v>TX</v>
      </c>
      <c r="M39" t="str">
        <f>IF(OR(UPPER(E39)="UNITED STATES",UPPER(E39)="UNITED STATES OF AMERICA",UPPER(E39)="US",UPPER(E39)="USA"),"USA",E39)</f>
        <v>USA</v>
      </c>
      <c r="N39" t="str" cm="1">
        <f t="array" ref="N39">_xlfn.REGEXEXTRACT(F39,"\d{5}")</f>
        <v>76022</v>
      </c>
    </row>
    <row r="40" spans="1:14" ht="24" x14ac:dyDescent="0.15">
      <c r="A40" s="2" t="s">
        <v>688</v>
      </c>
      <c r="B40" s="2" t="s">
        <v>689</v>
      </c>
      <c r="C40" s="2" t="s">
        <v>690</v>
      </c>
      <c r="D40" s="2" t="s">
        <v>20</v>
      </c>
      <c r="E40" s="2"/>
      <c r="F40" s="2" t="s">
        <v>691</v>
      </c>
      <c r="G40" s="2"/>
      <c r="H40" s="2"/>
      <c r="I40" s="2" t="str">
        <f>TRIM(CLEAN(SUBSTITUTE(A40,CHAR(10)," ")))</f>
        <v>Frosty Cones</v>
      </c>
      <c r="J40" s="2" t="str">
        <f>TRIM(CLEAN(SUBSTITUTE(B40,CHAR(10)," ")))</f>
        <v>120 kinsolving road</v>
      </c>
      <c r="K40" s="3" t="str">
        <f>PROPER(TRIM(C40))</f>
        <v>Belton</v>
      </c>
      <c r="L40" t="str">
        <f>UPPER(LEFT(TRIM(D40),2))</f>
        <v>TX</v>
      </c>
      <c r="M40">
        <f>IF(OR(UPPER(E40)="UNITED STATES",UPPER(E40)="UNITED STATES OF AMERICA",UPPER(E40)="US",UPPER(E40)="USA"),"USA",E40)</f>
        <v>0</v>
      </c>
      <c r="N40" t="str" cm="1">
        <f t="array" ref="N40">_xlfn.REGEXEXTRACT(F40,"\d{5}")</f>
        <v>76513</v>
      </c>
    </row>
    <row r="41" spans="1:14" ht="36" x14ac:dyDescent="0.15">
      <c r="A41" s="2" t="s">
        <v>22</v>
      </c>
      <c r="B41" s="2" t="s">
        <v>23</v>
      </c>
      <c r="C41" s="2" t="s">
        <v>24</v>
      </c>
      <c r="D41" s="2" t="s">
        <v>25</v>
      </c>
      <c r="E41" s="2" t="s">
        <v>10</v>
      </c>
      <c r="F41" s="2" t="s">
        <v>26</v>
      </c>
      <c r="G41" s="2"/>
      <c r="H41" s="2"/>
      <c r="I41" s="2" t="str">
        <f>TRIM(CLEAN(SUBSTITUTE(A41,CHAR(10)," ")))</f>
        <v>AAA Wholesale Supply</v>
      </c>
      <c r="J41" s="2" t="str">
        <f>TRIM(CLEAN(SUBSTITUTE(B41,CHAR(10)," ")))</f>
        <v>1260 powder plant road Bessemer</v>
      </c>
      <c r="K41" s="3" t="str">
        <f>PROPER(TRIM(C41))</f>
        <v>Bessemer</v>
      </c>
      <c r="L41" t="str">
        <f>UPPER(LEFT(TRIM(D41),2))</f>
        <v>AL</v>
      </c>
      <c r="M41" t="str">
        <f>IF(OR(UPPER(E41)="UNITED STATES",UPPER(E41)="UNITED STATES OF AMERICA",UPPER(E41)="US",UPPER(E41)="USA"),"USA",E41)</f>
        <v>USA</v>
      </c>
      <c r="N41" t="str" cm="1">
        <f t="array" ref="N41">_xlfn.REGEXEXTRACT(F41,"\d{5}")</f>
        <v>35022</v>
      </c>
    </row>
    <row r="42" spans="1:14" ht="24" x14ac:dyDescent="0.15">
      <c r="A42" s="2" t="s">
        <v>517</v>
      </c>
      <c r="B42" s="2" t="s">
        <v>518</v>
      </c>
      <c r="C42" s="2" t="s">
        <v>519</v>
      </c>
      <c r="D42" s="2" t="s">
        <v>20</v>
      </c>
      <c r="E42" s="2" t="s">
        <v>10</v>
      </c>
      <c r="F42" s="2" t="s">
        <v>520</v>
      </c>
      <c r="G42" s="2"/>
      <c r="H42" s="2"/>
      <c r="I42" s="2" t="str">
        <f>TRIM(CLEAN(SUBSTITUTE(A42,CHAR(10)," ")))</f>
        <v>Mona Lisa Pizza</v>
      </c>
      <c r="J42" s="2" t="str">
        <f>TRIM(CLEAN(SUBSTITUTE(B42,CHAR(10)," ")))</f>
        <v>2315 Main St.</v>
      </c>
      <c r="K42" s="3" t="str">
        <f>PROPER(TRIM(C42))</f>
        <v>Caddo Mills</v>
      </c>
      <c r="L42" t="str">
        <f>UPPER(LEFT(TRIM(D42),2))</f>
        <v>TX</v>
      </c>
      <c r="M42" t="str">
        <f>IF(OR(UPPER(E42)="UNITED STATES",UPPER(E42)="UNITED STATES OF AMERICA",UPPER(E42)="US",UPPER(E42)="USA"),"USA",E42)</f>
        <v>USA</v>
      </c>
      <c r="N42" t="str" cm="1">
        <f t="array" ref="N42">_xlfn.REGEXEXTRACT(F42,"\d{5}")</f>
        <v>75135</v>
      </c>
    </row>
    <row r="43" spans="1:14" ht="24" x14ac:dyDescent="0.15">
      <c r="A43" s="2"/>
      <c r="B43" s="2" t="s">
        <v>1218</v>
      </c>
      <c r="C43" s="2" t="s">
        <v>1219</v>
      </c>
      <c r="D43" s="2" t="s">
        <v>34</v>
      </c>
      <c r="E43" s="2" t="s">
        <v>10</v>
      </c>
      <c r="F43" s="2" t="s">
        <v>1220</v>
      </c>
      <c r="G43" s="2"/>
      <c r="H43" s="2"/>
      <c r="I43" s="2" t="str">
        <f>TRIM(CLEAN(SUBSTITUTE(A43,CHAR(10)," ")))</f>
        <v/>
      </c>
      <c r="J43" s="2" t="str">
        <f>TRIM(CLEAN(SUBSTITUTE(B43,CHAR(10)," ")))</f>
        <v>4322 Country Club blvd</v>
      </c>
      <c r="K43" s="3" t="str">
        <f>PROPER(TRIM(C43))</f>
        <v>Cape Coral</v>
      </c>
      <c r="L43" t="str">
        <f>UPPER(LEFT(TRIM(D43),2))</f>
        <v>FL</v>
      </c>
      <c r="M43" t="str">
        <f>IF(OR(UPPER(E43)="UNITED STATES",UPPER(E43)="UNITED STATES OF AMERICA",UPPER(E43)="US",UPPER(E43)="USA"),"USA",E43)</f>
        <v>USA</v>
      </c>
      <c r="N43" t="str" cm="1">
        <f t="array" ref="N43">_xlfn.REGEXEXTRACT(F43,"\d{5}")</f>
        <v>33904</v>
      </c>
    </row>
    <row r="44" spans="1:14" ht="48" x14ac:dyDescent="0.15">
      <c r="A44" s="2" t="s">
        <v>1354</v>
      </c>
      <c r="B44" s="2" t="s">
        <v>1355</v>
      </c>
      <c r="C44" s="2" t="s">
        <v>1219</v>
      </c>
      <c r="D44" s="2" t="s">
        <v>34</v>
      </c>
      <c r="E44" s="2" t="s">
        <v>10</v>
      </c>
      <c r="F44" s="2" t="s">
        <v>1220</v>
      </c>
      <c r="G44" s="2"/>
      <c r="H44" s="2"/>
      <c r="I44" s="2" t="str">
        <f>TRIM(CLEAN(SUBSTITUTE(A44,CHAR(10)," ")))</f>
        <v>Soccer Jersey Kiosk at front of Lush</v>
      </c>
      <c r="J44" s="2" t="str">
        <f>TRIM(CLEAN(SUBSTITUTE(B44,CHAR(10)," ")))</f>
        <v>4322 country club blvd</v>
      </c>
      <c r="K44" s="3" t="str">
        <f>PROPER(TRIM(C44))</f>
        <v>Cape Coral</v>
      </c>
      <c r="L44" t="str">
        <f>UPPER(LEFT(TRIM(D44),2))</f>
        <v>FL</v>
      </c>
      <c r="M44" t="str">
        <f>IF(OR(UPPER(E44)="UNITED STATES",UPPER(E44)="UNITED STATES OF AMERICA",UPPER(E44)="US",UPPER(E44)="USA"),"USA",E44)</f>
        <v>USA</v>
      </c>
      <c r="N44" t="str" cm="1">
        <f t="array" ref="N44">_xlfn.REGEXEXTRACT(F44,"\d{5}")</f>
        <v>33904</v>
      </c>
    </row>
    <row r="45" spans="1:14" ht="36" x14ac:dyDescent="0.15">
      <c r="A45" s="2" t="s">
        <v>248</v>
      </c>
      <c r="B45" s="2" t="s">
        <v>249</v>
      </c>
      <c r="C45" s="2" t="s">
        <v>250</v>
      </c>
      <c r="D45" s="2" t="s">
        <v>20</v>
      </c>
      <c r="E45" s="2" t="s">
        <v>10</v>
      </c>
      <c r="F45" s="2" t="s">
        <v>251</v>
      </c>
      <c r="G45" s="2"/>
      <c r="H45" s="2"/>
      <c r="I45" s="2" t="str">
        <f>TRIM(CLEAN(SUBSTITUTE(A45,CHAR(10)," ")))</f>
        <v>Apna Bazaar Grocery and Grill</v>
      </c>
      <c r="J45" s="2" t="str">
        <f>TRIM(CLEAN(SUBSTITUTE(B45,CHAR(10)," ")))</f>
        <v>2000 Old Denton Rd Apt 104</v>
      </c>
      <c r="K45" s="3" t="str">
        <f>PROPER(TRIM(C45))</f>
        <v>Carrollton</v>
      </c>
      <c r="L45" t="str">
        <f>UPPER(LEFT(TRIM(D45),2))</f>
        <v>TX</v>
      </c>
      <c r="M45" t="str">
        <f>IF(OR(UPPER(E45)="UNITED STATES",UPPER(E45)="UNITED STATES OF AMERICA",UPPER(E45)="US",UPPER(E45)="USA"),"USA",E45)</f>
        <v>USA</v>
      </c>
      <c r="N45" t="str" cm="1">
        <f t="array" ref="N45">_xlfn.REGEXEXTRACT(F45,"\d{5}")</f>
        <v>75007</v>
      </c>
    </row>
    <row r="46" spans="1:14" ht="36" x14ac:dyDescent="0.15">
      <c r="A46" s="2" t="s">
        <v>256</v>
      </c>
      <c r="B46" s="2" t="s">
        <v>257</v>
      </c>
      <c r="C46" s="2" t="s">
        <v>250</v>
      </c>
      <c r="D46" s="2" t="s">
        <v>20</v>
      </c>
      <c r="E46" s="2" t="s">
        <v>10</v>
      </c>
      <c r="F46" s="2" t="s">
        <v>217</v>
      </c>
      <c r="G46" s="2"/>
      <c r="H46" s="2"/>
      <c r="I46" s="2" t="str">
        <f>TRIM(CLEAN(SUBSTITUTE(A46,CHAR(10)," ")))</f>
        <v>Art masterclass-Dallas</v>
      </c>
      <c r="J46" s="2" t="str">
        <f>TRIM(CLEAN(SUBSTITUTE(B46,CHAR(10)," ")))</f>
        <v>3440 Sojourn Dr Apt 200</v>
      </c>
      <c r="K46" s="3" t="str">
        <f>PROPER(TRIM(C46))</f>
        <v>Carrollton</v>
      </c>
      <c r="L46" t="str">
        <f>UPPER(LEFT(TRIM(D46),2))</f>
        <v>TX</v>
      </c>
      <c r="M46" t="str">
        <f>IF(OR(UPPER(E46)="UNITED STATES",UPPER(E46)="UNITED STATES OF AMERICA",UPPER(E46)="US",UPPER(E46)="USA"),"USA",E46)</f>
        <v>USA</v>
      </c>
      <c r="N46" t="str" cm="1">
        <f t="array" ref="N46">_xlfn.REGEXEXTRACT(F46,"\d{5}")</f>
        <v>75006</v>
      </c>
    </row>
    <row r="47" spans="1:14" ht="36" x14ac:dyDescent="0.15">
      <c r="A47" s="2" t="s">
        <v>214</v>
      </c>
      <c r="B47" s="2" t="s">
        <v>215</v>
      </c>
      <c r="C47" s="2" t="s">
        <v>216</v>
      </c>
      <c r="D47" s="2" t="s">
        <v>15</v>
      </c>
      <c r="E47" s="2" t="s">
        <v>10</v>
      </c>
      <c r="F47" s="2" t="s">
        <v>217</v>
      </c>
      <c r="G47" s="2"/>
      <c r="H47" s="2"/>
      <c r="I47" s="2" t="str">
        <f>TRIM(CLEAN(SUBSTITUTE(A47,CHAR(10)," ")))</f>
        <v>Al Markaz</v>
      </c>
      <c r="J47" s="2" t="str">
        <f>TRIM(CLEAN(SUBSTITUTE(B47,CHAR(10)," ")))</f>
        <v>1205 W. Trinity Mills Rd Suite 112</v>
      </c>
      <c r="K47" s="3" t="str">
        <f>PROPER(TRIM(C47))</f>
        <v>Carrolton</v>
      </c>
      <c r="L47" t="str">
        <f>UPPER(LEFT(TRIM(D47),2))</f>
        <v>TX</v>
      </c>
      <c r="M47" t="str">
        <f>IF(OR(UPPER(E47)="UNITED STATES",UPPER(E47)="UNITED STATES OF AMERICA",UPPER(E47)="US",UPPER(E47)="USA"),"USA",E47)</f>
        <v>USA</v>
      </c>
      <c r="N47" t="str" cm="1">
        <f t="array" ref="N47">_xlfn.REGEXEXTRACT(F47,"\d{5}")</f>
        <v>75006</v>
      </c>
    </row>
    <row r="48" spans="1:14" ht="36" x14ac:dyDescent="0.15">
      <c r="A48" s="2" t="s">
        <v>97</v>
      </c>
      <c r="B48" s="2" t="s">
        <v>98</v>
      </c>
      <c r="C48" s="2" t="s">
        <v>99</v>
      </c>
      <c r="D48" s="2" t="s">
        <v>20</v>
      </c>
      <c r="E48" s="2" t="s">
        <v>10</v>
      </c>
      <c r="F48" s="2"/>
      <c r="G48" s="2"/>
      <c r="H48" s="2"/>
      <c r="I48" s="2" t="str">
        <f>TRIM(CLEAN(SUBSTITUTE(A48,CHAR(10)," ")))</f>
        <v>DESI DISTRICT AUSTIN</v>
      </c>
      <c r="J48" s="2" t="str">
        <f>TRIM(CLEAN(SUBSTITUTE(B48,CHAR(10)," ")))</f>
        <v>12301 W Parmer Ln, Unit 801 ,</v>
      </c>
      <c r="K48" s="3" t="str">
        <f>PROPER(TRIM(C48))</f>
        <v>Cedar Park</v>
      </c>
      <c r="L48" t="str">
        <f>UPPER(LEFT(TRIM(D48),2))</f>
        <v>TX</v>
      </c>
      <c r="M48" t="str">
        <f>IF(OR(UPPER(E48)="UNITED STATES",UPPER(E48)="UNITED STATES OF AMERICA",UPPER(E48)="US",UPPER(E48)="USA"),"USA",E48)</f>
        <v>USA</v>
      </c>
      <c r="N48" t="e" cm="1" vm="1">
        <f t="array" ref="N48">_xlfn.REGEXEXTRACT(F48,"\d{5}")</f>
        <v>#N/A</v>
      </c>
    </row>
    <row r="49" spans="1:14" ht="48" x14ac:dyDescent="0.15">
      <c r="A49" s="2" t="s">
        <v>104</v>
      </c>
      <c r="B49" s="2" t="s">
        <v>105</v>
      </c>
      <c r="C49" s="2" t="s">
        <v>106</v>
      </c>
      <c r="D49" s="2" t="s">
        <v>20</v>
      </c>
      <c r="E49" s="2" t="s">
        <v>10</v>
      </c>
      <c r="F49" s="2" t="s">
        <v>107</v>
      </c>
      <c r="G49" s="2"/>
      <c r="H49" s="2"/>
      <c r="I49" s="2" t="str">
        <f>TRIM(CLEAN(SUBSTITUTE(A49,CHAR(10)," ")))</f>
        <v>Austin European Market</v>
      </c>
      <c r="J49" s="2" t="str">
        <f>TRIM(CLEAN(SUBSTITUTE(B49,CHAR(10)," ")))</f>
        <v>601 E Whitestone Blvd Suite#512</v>
      </c>
      <c r="K49" s="3" t="str">
        <f>PROPER(TRIM(C49))</f>
        <v>Cedar Park</v>
      </c>
      <c r="L49" t="str">
        <f>UPPER(LEFT(TRIM(D49),2))</f>
        <v>TX</v>
      </c>
      <c r="M49" t="str">
        <f>IF(OR(UPPER(E49)="UNITED STATES",UPPER(E49)="UNITED STATES OF AMERICA",UPPER(E49)="US",UPPER(E49)="USA"),"USA",E49)</f>
        <v>USA</v>
      </c>
      <c r="N49" t="str" cm="1">
        <f t="array" ref="N49">_xlfn.REGEXEXTRACT(F49,"\d{5}")</f>
        <v>78613</v>
      </c>
    </row>
    <row r="50" spans="1:14" ht="24" x14ac:dyDescent="0.15">
      <c r="A50" s="2" t="s">
        <v>119</v>
      </c>
      <c r="B50" s="2" t="s">
        <v>120</v>
      </c>
      <c r="C50" s="2" t="s">
        <v>121</v>
      </c>
      <c r="D50" s="2" t="s">
        <v>20</v>
      </c>
      <c r="E50" s="2" t="s">
        <v>10</v>
      </c>
      <c r="F50" s="2" t="s">
        <v>107</v>
      </c>
      <c r="G50" s="2"/>
      <c r="H50" s="2"/>
      <c r="I50" s="2" t="str">
        <f>TRIM(CLEAN(SUBSTITUTE(A50,CHAR(10)," ")))</f>
        <v>International foods #2</v>
      </c>
      <c r="J50" s="2" t="str">
        <f>TRIM(CLEAN(SUBSTITUTE(B50,CHAR(10)," ")))</f>
        <v>851 S bell blvd</v>
      </c>
      <c r="K50" s="3" t="str">
        <f>PROPER(TRIM(C50))</f>
        <v>Cedar Park</v>
      </c>
      <c r="L50" t="str">
        <f>UPPER(LEFT(TRIM(D50),2))</f>
        <v>TX</v>
      </c>
      <c r="M50" t="str">
        <f>IF(OR(UPPER(E50)="UNITED STATES",UPPER(E50)="UNITED STATES OF AMERICA",UPPER(E50)="US",UPPER(E50)="USA"),"USA",E50)</f>
        <v>USA</v>
      </c>
      <c r="N50" t="str" cm="1">
        <f t="array" ref="N50">_xlfn.REGEXEXTRACT(F50,"\d{5}")</f>
        <v>78613</v>
      </c>
    </row>
    <row r="51" spans="1:14" ht="48" x14ac:dyDescent="0.15">
      <c r="A51" s="2" t="s">
        <v>82</v>
      </c>
      <c r="B51" s="2" t="s">
        <v>83</v>
      </c>
      <c r="C51" s="2" t="s">
        <v>84</v>
      </c>
      <c r="D51" s="2" t="s">
        <v>20</v>
      </c>
      <c r="E51" s="2"/>
      <c r="F51" s="2"/>
      <c r="G51" s="2"/>
      <c r="H51" s="2"/>
      <c r="I51" s="2" t="str">
        <f>TRIM(CLEAN(SUBSTITUTE(A51,CHAR(10)," ")))</f>
        <v>MISFOOD LLC (kebab7)</v>
      </c>
      <c r="J51" s="2" t="str">
        <f>TRIM(CLEAN(SUBSTITUTE(B51,CHAR(10)," ")))</f>
        <v>920 NORTH VISTA RIDGE UNIT 550</v>
      </c>
      <c r="K51" s="3" t="str">
        <f>PROPER(TRIM(C51))</f>
        <v>Cedar Park</v>
      </c>
      <c r="L51" t="str">
        <f>UPPER(LEFT(TRIM(D51),2))</f>
        <v>TX</v>
      </c>
      <c r="M51">
        <f>IF(OR(UPPER(E51)="UNITED STATES",UPPER(E51)="UNITED STATES OF AMERICA",UPPER(E51)="US",UPPER(E51)="USA"),"USA",E51)</f>
        <v>0</v>
      </c>
      <c r="N51" t="e" cm="1" vm="1">
        <f t="array" ref="N51">_xlfn.REGEXEXTRACT(F51,"\d{5}")</f>
        <v>#N/A</v>
      </c>
    </row>
    <row r="52" spans="1:14" ht="24" x14ac:dyDescent="0.15">
      <c r="A52" s="2" t="s">
        <v>154</v>
      </c>
      <c r="B52" s="2" t="s">
        <v>155</v>
      </c>
      <c r="C52" s="2" t="s">
        <v>156</v>
      </c>
      <c r="D52" s="2" t="s">
        <v>157</v>
      </c>
      <c r="E52" s="2" t="s">
        <v>10</v>
      </c>
      <c r="F52" s="2" t="s">
        <v>158</v>
      </c>
      <c r="G52" s="2"/>
      <c r="H52" s="2"/>
      <c r="I52" s="2" t="str">
        <f>TRIM(CLEAN(SUBSTITUTE(A52,CHAR(10)," ")))</f>
        <v>Chicago Import Inc</v>
      </c>
      <c r="J52" s="2" t="str">
        <f>TRIM(CLEAN(SUBSTITUTE(B52,CHAR(10)," ")))</f>
        <v>3811 W Lawrence Ave</v>
      </c>
      <c r="K52" s="3" t="str">
        <f>PROPER(TRIM(C52))</f>
        <v>Chicago</v>
      </c>
      <c r="L52" t="str">
        <f>UPPER(LEFT(TRIM(D52),2))</f>
        <v>IL</v>
      </c>
      <c r="M52" t="str">
        <f>IF(OR(UPPER(E52)="UNITED STATES",UPPER(E52)="UNITED STATES OF AMERICA",UPPER(E52)="US",UPPER(E52)="USA"),"USA",E52)</f>
        <v>USA</v>
      </c>
      <c r="N52" t="str" cm="1">
        <f t="array" ref="N52">_xlfn.REGEXEXTRACT(F52,"\d{5}")</f>
        <v>60625</v>
      </c>
    </row>
    <row r="53" spans="1:14" ht="24" x14ac:dyDescent="0.15">
      <c r="A53" s="2" t="s">
        <v>1248</v>
      </c>
      <c r="B53" s="2" t="s">
        <v>1249</v>
      </c>
      <c r="C53" s="2" t="s">
        <v>156</v>
      </c>
      <c r="D53" s="2" t="s">
        <v>157</v>
      </c>
      <c r="E53" s="2" t="s">
        <v>10</v>
      </c>
      <c r="F53" s="2" t="s">
        <v>674</v>
      </c>
      <c r="G53" s="2"/>
      <c r="H53" s="2"/>
      <c r="I53" s="2" t="str">
        <f>TRIM(CLEAN(SUBSTITUTE(A53,CHAR(10)," ")))</f>
        <v>RN International</v>
      </c>
      <c r="J53" s="2" t="str">
        <f>TRIM(CLEAN(SUBSTITUTE(B53,CHAR(10)," ")))</f>
        <v>3909 W. Lawrence Ave</v>
      </c>
      <c r="K53" s="3" t="str">
        <f>PROPER(TRIM(C53))</f>
        <v>Chicago</v>
      </c>
      <c r="L53" t="str">
        <f>UPPER(LEFT(TRIM(D53),2))</f>
        <v>IL</v>
      </c>
      <c r="M53" t="str">
        <f>IF(OR(UPPER(E53)="UNITED STATES",UPPER(E53)="UNITED STATES OF AMERICA",UPPER(E53)="US",UPPER(E53)="USA"),"USA",E53)</f>
        <v>USA</v>
      </c>
      <c r="N53" t="str" cm="1">
        <f t="array" ref="N53">_xlfn.REGEXEXTRACT(F53,"\d{5}")</f>
        <v>60016</v>
      </c>
    </row>
    <row r="54" spans="1:14" ht="48" x14ac:dyDescent="0.15">
      <c r="A54" s="2" t="s">
        <v>1013</v>
      </c>
      <c r="B54" s="2" t="s">
        <v>1014</v>
      </c>
      <c r="C54" s="2" t="s">
        <v>1015</v>
      </c>
      <c r="D54" s="2" t="s">
        <v>102</v>
      </c>
      <c r="E54" s="2" t="s">
        <v>10</v>
      </c>
      <c r="F54" s="2" t="s">
        <v>1016</v>
      </c>
      <c r="G54" s="2"/>
      <c r="H54" s="2"/>
      <c r="I54" s="2" t="str">
        <f>TRIM(CLEAN(SUBSTITUTE(A54,CHAR(10)," ")))</f>
        <v>MEZZÉ#1</v>
      </c>
      <c r="J54" s="2" t="str">
        <f>TRIM(CLEAN(SUBSTITUTE(B54,CHAR(10)," ")))</f>
        <v>1205 Grand Central Parkway Ste. 100</v>
      </c>
      <c r="K54" s="3" t="str">
        <f>PROPER(TRIM(C54))</f>
        <v>Conroe</v>
      </c>
      <c r="L54" t="str">
        <f>UPPER(LEFT(TRIM(D54),2))</f>
        <v>TE</v>
      </c>
      <c r="M54" t="str">
        <f>IF(OR(UPPER(E54)="UNITED STATES",UPPER(E54)="UNITED STATES OF AMERICA",UPPER(E54)="US",UPPER(E54)="USA"),"USA",E54)</f>
        <v>USA</v>
      </c>
      <c r="N54" t="str" cm="1">
        <f t="array" ref="N54">_xlfn.REGEXEXTRACT(F54,"\d{5}")</f>
        <v>77304</v>
      </c>
    </row>
    <row r="55" spans="1:14" ht="24" x14ac:dyDescent="0.15">
      <c r="A55" s="2" t="s">
        <v>17</v>
      </c>
      <c r="B55" s="2" t="s">
        <v>18</v>
      </c>
      <c r="C55" s="2" t="s">
        <v>19</v>
      </c>
      <c r="D55" s="2" t="s">
        <v>20</v>
      </c>
      <c r="E55" s="2" t="s">
        <v>10</v>
      </c>
      <c r="F55" s="2" t="s">
        <v>21</v>
      </c>
      <c r="G55" s="2"/>
      <c r="H55" s="2"/>
      <c r="I55" s="2" t="str">
        <f>TRIM(CLEAN(SUBSTITUTE(A55,CHAR(10)," ")))</f>
        <v>2015 A AND B, LLC</v>
      </c>
      <c r="J55" s="2" t="str">
        <f>TRIM(CLEAN(SUBSTITUTE(B55,CHAR(10)," ")))</f>
        <v>8026 KITTY HAWK RD</v>
      </c>
      <c r="K55" s="3" t="str">
        <f>PROPER(TRIM(C55))</f>
        <v>Converse</v>
      </c>
      <c r="L55" t="str">
        <f>UPPER(LEFT(TRIM(D55),2))</f>
        <v>TX</v>
      </c>
      <c r="M55" t="str">
        <f>IF(OR(UPPER(E55)="UNITED STATES",UPPER(E55)="UNITED STATES OF AMERICA",UPPER(E55)="US",UPPER(E55)="USA"),"USA",E55)</f>
        <v>USA</v>
      </c>
      <c r="N55" t="str" cm="1">
        <f t="array" ref="N55">_xlfn.REGEXEXTRACT(F55,"\d{5}")</f>
        <v>78109</v>
      </c>
    </row>
    <row r="56" spans="1:14" ht="36" x14ac:dyDescent="0.15">
      <c r="A56" s="2" t="s">
        <v>652</v>
      </c>
      <c r="B56" s="2" t="s">
        <v>653</v>
      </c>
      <c r="C56" s="2" t="s">
        <v>654</v>
      </c>
      <c r="D56" s="2" t="s">
        <v>20</v>
      </c>
      <c r="E56" s="2" t="s">
        <v>10</v>
      </c>
      <c r="F56" s="2" t="s">
        <v>655</v>
      </c>
      <c r="G56" s="2"/>
      <c r="H56" s="2"/>
      <c r="I56" s="2" t="str">
        <f>TRIM(CLEAN(SUBSTITUTE(A56,CHAR(10)," ")))</f>
        <v>Zayn Global Market</v>
      </c>
      <c r="J56" s="2" t="str">
        <f>TRIM(CLEAN(SUBSTITUTE(B56,CHAR(10)," ")))</f>
        <v>920 S Belt Line Rd STE 110</v>
      </c>
      <c r="K56" s="3" t="str">
        <f>PROPER(TRIM(C56))</f>
        <v>Coppell</v>
      </c>
      <c r="L56" t="str">
        <f>UPPER(LEFT(TRIM(D56),2))</f>
        <v>TX</v>
      </c>
      <c r="M56" t="str">
        <f>IF(OR(UPPER(E56)="UNITED STATES",UPPER(E56)="UNITED STATES OF AMERICA",UPPER(E56)="US",UPPER(E56)="USA"),"USA",E56)</f>
        <v>USA</v>
      </c>
      <c r="N56" t="str" cm="1">
        <f t="array" ref="N56">_xlfn.REGEXEXTRACT(F56,"\d{5}")</f>
        <v>75019</v>
      </c>
    </row>
    <row r="57" spans="1:14" ht="36" x14ac:dyDescent="0.15">
      <c r="A57" s="2" t="s">
        <v>770</v>
      </c>
      <c r="B57" s="2" t="s">
        <v>771</v>
      </c>
      <c r="C57" s="2" t="s">
        <v>772</v>
      </c>
      <c r="D57" s="2" t="s">
        <v>20</v>
      </c>
      <c r="E57" s="2" t="s">
        <v>10</v>
      </c>
      <c r="F57" s="2" t="s">
        <v>773</v>
      </c>
      <c r="G57" s="2"/>
      <c r="H57" s="2"/>
      <c r="I57" s="2" t="str">
        <f>TRIM(CLEAN(SUBSTITUTE(A57,CHAR(10)," ")))</f>
        <v>Cypress Grocery and Halal Meat</v>
      </c>
      <c r="J57" s="2" t="str">
        <f>TRIM(CLEAN(SUBSTITUTE(B57,CHAR(10)," ")))</f>
        <v>11700 Barker Cypress Rd Suite E</v>
      </c>
      <c r="K57" s="3" t="str">
        <f>PROPER(TRIM(C57))</f>
        <v>Cypress</v>
      </c>
      <c r="L57" t="str">
        <f>UPPER(LEFT(TRIM(D57),2))</f>
        <v>TX</v>
      </c>
      <c r="M57" t="str">
        <f>IF(OR(UPPER(E57)="UNITED STATES",UPPER(E57)="UNITED STATES OF AMERICA",UPPER(E57)="US",UPPER(E57)="USA"),"USA",E57)</f>
        <v>USA</v>
      </c>
      <c r="N57" t="str" cm="1">
        <f t="array" ref="N57">_xlfn.REGEXEXTRACT(F57,"\d{5}")</f>
        <v>77433</v>
      </c>
    </row>
    <row r="58" spans="1:14" ht="24" x14ac:dyDescent="0.15">
      <c r="A58" s="2" t="s">
        <v>903</v>
      </c>
      <c r="B58" s="2" t="s">
        <v>904</v>
      </c>
      <c r="C58" s="2" t="s">
        <v>772</v>
      </c>
      <c r="D58" s="2" t="s">
        <v>20</v>
      </c>
      <c r="E58" s="2" t="s">
        <v>10</v>
      </c>
      <c r="F58" s="2" t="s">
        <v>773</v>
      </c>
      <c r="G58" s="2"/>
      <c r="H58" s="2"/>
      <c r="I58" s="2" t="str">
        <f>TRIM(CLEAN(SUBSTITUTE(A58,CHAR(10)," ")))</f>
        <v>Arabisca Restaurant</v>
      </c>
      <c r="J58" s="2" t="str">
        <f>TRIM(CLEAN(SUBSTITUTE(B58,CHAR(10)," ")))</f>
        <v>18039 FM 529, , TX</v>
      </c>
      <c r="K58" s="3" t="str">
        <f>PROPER(TRIM(C58))</f>
        <v>Cypress</v>
      </c>
      <c r="L58" t="str">
        <f>UPPER(LEFT(TRIM(D58),2))</f>
        <v>TX</v>
      </c>
      <c r="M58" t="str">
        <f>IF(OR(UPPER(E58)="UNITED STATES",UPPER(E58)="UNITED STATES OF AMERICA",UPPER(E58)="US",UPPER(E58)="USA"),"USA",E58)</f>
        <v>USA</v>
      </c>
      <c r="N58" t="str" cm="1">
        <f t="array" ref="N58">_xlfn.REGEXEXTRACT(F58,"\d{5}")</f>
        <v>77433</v>
      </c>
    </row>
    <row r="59" spans="1:14" ht="48" x14ac:dyDescent="0.15">
      <c r="A59" s="2" t="s">
        <v>1043</v>
      </c>
      <c r="B59" s="2" t="s">
        <v>1044</v>
      </c>
      <c r="C59" s="2" t="s">
        <v>772</v>
      </c>
      <c r="D59" s="2" t="s">
        <v>20</v>
      </c>
      <c r="E59" s="2" t="s">
        <v>10</v>
      </c>
      <c r="F59" s="2" t="s">
        <v>971</v>
      </c>
      <c r="G59" s="2"/>
      <c r="H59" s="2"/>
      <c r="I59" s="2" t="str">
        <f>TRIM(CLEAN(SUBSTITUTE(A59,CHAR(10)," ")))</f>
        <v>Ramadan Halal Meat Market</v>
      </c>
      <c r="J59" s="2" t="str">
        <f>TRIM(CLEAN(SUBSTITUTE(B59,CHAR(10)," ")))</f>
        <v>4750 Cypress Creek Pkwy, Houston, TX 77069</v>
      </c>
      <c r="K59" s="3" t="str">
        <f>PROPER(TRIM(C59))</f>
        <v>Cypress</v>
      </c>
      <c r="L59" t="str">
        <f>UPPER(LEFT(TRIM(D59),2))</f>
        <v>TX</v>
      </c>
      <c r="M59" t="str">
        <f>IF(OR(UPPER(E59)="UNITED STATES",UPPER(E59)="UNITED STATES OF AMERICA",UPPER(E59)="US",UPPER(E59)="USA"),"USA",E59)</f>
        <v>USA</v>
      </c>
      <c r="N59" t="str" cm="1">
        <f t="array" ref="N59">_xlfn.REGEXEXTRACT(F59,"\d{5}")</f>
        <v>77069</v>
      </c>
    </row>
    <row r="60" spans="1:14" ht="36" x14ac:dyDescent="0.15">
      <c r="A60" s="2" t="s">
        <v>563</v>
      </c>
      <c r="B60" s="2" t="s">
        <v>564</v>
      </c>
      <c r="C60" s="2" t="s">
        <v>201</v>
      </c>
      <c r="D60" s="2" t="s">
        <v>20</v>
      </c>
      <c r="E60" s="2" t="s">
        <v>10</v>
      </c>
      <c r="F60" s="2" t="s">
        <v>204</v>
      </c>
      <c r="G60" s="2"/>
      <c r="H60" s="2"/>
      <c r="I60" s="2" t="str">
        <f>TRIM(CLEAN(SUBSTITUTE(A60,CHAR(10)," ")))</f>
        <v>RAVI'S Import Warehouse</v>
      </c>
      <c r="J60" s="2" t="str">
        <f>TRIM(CLEAN(SUBSTITUTE(B60,CHAR(10)," ")))</f>
        <v>1029 Harry Hines Blvd</v>
      </c>
      <c r="K60" s="3" t="str">
        <f>PROPER(TRIM(C60))</f>
        <v>Dallas</v>
      </c>
      <c r="L60" t="str">
        <f>UPPER(LEFT(TRIM(D60),2))</f>
        <v>TX</v>
      </c>
      <c r="M60" t="str">
        <f>IF(OR(UPPER(E60)="UNITED STATES",UPPER(E60)="UNITED STATES OF AMERICA",UPPER(E60)="US",UPPER(E60)="USA"),"USA",E60)</f>
        <v>USA</v>
      </c>
      <c r="N60" t="str" cm="1">
        <f t="array" ref="N60">_xlfn.REGEXEXTRACT(F60,"\d{5}")</f>
        <v>75229</v>
      </c>
    </row>
    <row r="61" spans="1:14" ht="24" x14ac:dyDescent="0.15">
      <c r="A61" s="2" t="s">
        <v>1189</v>
      </c>
      <c r="B61" s="2" t="s">
        <v>1190</v>
      </c>
      <c r="C61" s="2" t="s">
        <v>201</v>
      </c>
      <c r="D61" s="2" t="s">
        <v>102</v>
      </c>
      <c r="E61" s="2" t="s">
        <v>10</v>
      </c>
      <c r="F61" s="2" t="s">
        <v>204</v>
      </c>
      <c r="G61" s="2"/>
      <c r="H61" s="2"/>
      <c r="I61" s="2" t="str">
        <f>TRIM(CLEAN(SUBSTITUTE(A61,CHAR(10)," ")))</f>
        <v>Monster Wholesale</v>
      </c>
      <c r="J61" s="2" t="str">
        <f>TRIM(CLEAN(SUBSTITUTE(B61,CHAR(10)," ")))</f>
        <v>11100 Harry Hines Blvd</v>
      </c>
      <c r="K61" s="3" t="str">
        <f>PROPER(TRIM(C61))</f>
        <v>Dallas</v>
      </c>
      <c r="L61" s="8" t="s">
        <v>20</v>
      </c>
      <c r="M61" t="str">
        <f>IF(OR(UPPER(E61)="UNITED STATES",UPPER(E61)="UNITED STATES OF AMERICA",UPPER(E61)="US",UPPER(E61)="USA"),"USA",E61)</f>
        <v>USA</v>
      </c>
      <c r="N61" t="str" cm="1">
        <f t="array" ref="N61">_xlfn.REGEXEXTRACT(F61,"\d{5}")</f>
        <v>75229</v>
      </c>
    </row>
    <row r="62" spans="1:14" ht="36" x14ac:dyDescent="0.15">
      <c r="A62" s="2" t="s">
        <v>643</v>
      </c>
      <c r="B62" s="2" t="s">
        <v>644</v>
      </c>
      <c r="C62" s="2" t="s">
        <v>201</v>
      </c>
      <c r="D62" s="2" t="s">
        <v>20</v>
      </c>
      <c r="E62" s="2" t="s">
        <v>10</v>
      </c>
      <c r="F62" s="2" t="s">
        <v>489</v>
      </c>
      <c r="G62" s="2"/>
      <c r="H62" s="2"/>
      <c r="I62" s="2" t="str">
        <f>TRIM(CLEAN(SUBSTITUTE(A62,CHAR(10)," ")))</f>
        <v>World Food Warehouse</v>
      </c>
      <c r="J62" s="2" t="str">
        <f>TRIM(CLEAN(SUBSTITUTE(B62,CHAR(10)," ")))</f>
        <v>13434 Floyd Cir, Dallas, TX 75243</v>
      </c>
      <c r="K62" s="3" t="str">
        <f>PROPER(TRIM(C62))</f>
        <v>Dallas</v>
      </c>
      <c r="L62" t="str">
        <f>UPPER(LEFT(TRIM(D62),2))</f>
        <v>TX</v>
      </c>
      <c r="M62" t="str">
        <f>IF(OR(UPPER(E62)="UNITED STATES",UPPER(E62)="UNITED STATES OF AMERICA",UPPER(E62)="US",UPPER(E62)="USA"),"USA",E62)</f>
        <v>USA</v>
      </c>
      <c r="N62" t="str" cm="1">
        <f t="array" ref="N62">_xlfn.REGEXEXTRACT(F62,"\d{5}")</f>
        <v>75243</v>
      </c>
    </row>
    <row r="63" spans="1:14" ht="36" x14ac:dyDescent="0.15">
      <c r="A63" s="2" t="s">
        <v>710</v>
      </c>
      <c r="B63" s="2" t="s">
        <v>711</v>
      </c>
      <c r="C63" s="2" t="s">
        <v>580</v>
      </c>
      <c r="D63" s="2" t="s">
        <v>20</v>
      </c>
      <c r="E63" s="2" t="s">
        <v>10</v>
      </c>
      <c r="F63" s="2" t="s">
        <v>712</v>
      </c>
      <c r="G63" s="2"/>
      <c r="H63" s="2"/>
      <c r="I63" s="2" t="str">
        <f>TRIM(CLEAN(SUBSTITUTE(A63,CHAR(10)," ")))</f>
        <v>GOURMET EUROPEAN MARKERTY</v>
      </c>
      <c r="J63" s="2" t="str">
        <f>TRIM(CLEAN(SUBSTITUTE(B63,CHAR(10)," ")))</f>
        <v>17435 PRESTON RD</v>
      </c>
      <c r="K63" s="3" t="str">
        <f>PROPER(TRIM(C63))</f>
        <v>Dallas</v>
      </c>
      <c r="L63" t="str">
        <f>UPPER(LEFT(TRIM(D63),2))</f>
        <v>TX</v>
      </c>
      <c r="M63" t="str">
        <f>IF(OR(UPPER(E63)="UNITED STATES",UPPER(E63)="UNITED STATES OF AMERICA",UPPER(E63)="US",UPPER(E63)="USA"),"USA",E63)</f>
        <v>USA</v>
      </c>
      <c r="N63" t="str" cm="1">
        <f t="array" ref="N63">_xlfn.REGEXEXTRACT(F63,"\d{5}")</f>
        <v>75252</v>
      </c>
    </row>
    <row r="64" spans="1:14" ht="36" x14ac:dyDescent="0.15">
      <c r="A64" s="2" t="s">
        <v>610</v>
      </c>
      <c r="B64" s="2" t="s">
        <v>611</v>
      </c>
      <c r="C64" s="2" t="s">
        <v>201</v>
      </c>
      <c r="D64" s="2" t="s">
        <v>20</v>
      </c>
      <c r="E64" s="2" t="s">
        <v>10</v>
      </c>
      <c r="F64" s="2" t="s">
        <v>612</v>
      </c>
      <c r="G64" s="2"/>
      <c r="H64" s="2"/>
      <c r="I64" s="2" t="str">
        <f>TRIM(CLEAN(SUBSTITUTE(A64,CHAR(10)," ")))</f>
        <v>Sugarphoria</v>
      </c>
      <c r="J64" s="2" t="str">
        <f>TRIM(CLEAN(SUBSTITUTE(B64,CHAR(10)," ")))</f>
        <v>2400 aviation Dr. d14</v>
      </c>
      <c r="K64" s="3" t="str">
        <f>PROPER(TRIM(C64))</f>
        <v>Dallas</v>
      </c>
      <c r="L64" t="str">
        <f>UPPER(LEFT(TRIM(D64),2))</f>
        <v>TX</v>
      </c>
      <c r="M64" t="str">
        <f>IF(OR(UPPER(E64)="UNITED STATES",UPPER(E64)="UNITED STATES OF AMERICA",UPPER(E64)="US",UPPER(E64)="USA"),"USA",E64)</f>
        <v>USA</v>
      </c>
      <c r="N64" t="str" cm="1">
        <f t="array" ref="N64">_xlfn.REGEXEXTRACT(F64,"\d{5}")</f>
        <v>75261</v>
      </c>
    </row>
    <row r="65" spans="1:14" ht="24" x14ac:dyDescent="0.15">
      <c r="A65" s="2" t="s">
        <v>526</v>
      </c>
      <c r="B65" s="2" t="s">
        <v>527</v>
      </c>
      <c r="C65" s="2" t="s">
        <v>528</v>
      </c>
      <c r="D65" s="2" t="s">
        <v>15</v>
      </c>
      <c r="E65" s="2" t="s">
        <v>10</v>
      </c>
      <c r="F65" s="2" t="s">
        <v>204</v>
      </c>
      <c r="G65" s="2"/>
      <c r="H65" s="2"/>
      <c r="I65" s="2" t="str">
        <f>TRIM(CLEAN(SUBSTITUTE(A65,CHAR(10)," ")))</f>
        <v>New Princeton Inc</v>
      </c>
      <c r="J65" s="2" t="str">
        <f>TRIM(CLEAN(SUBSTITUTE(B65,CHAR(10)," ")))</f>
        <v>2529 royal ln unit #202</v>
      </c>
      <c r="K65" s="3" t="str">
        <f>PROPER(TRIM(C65))</f>
        <v>Dallas</v>
      </c>
      <c r="L65" t="str">
        <f>UPPER(LEFT(TRIM(D65),2))</f>
        <v>TX</v>
      </c>
      <c r="M65" t="str">
        <f>IF(OR(UPPER(E65)="UNITED STATES",UPPER(E65)="UNITED STATES OF AMERICA",UPPER(E65)="US",UPPER(E65)="USA"),"USA",E65)</f>
        <v>USA</v>
      </c>
      <c r="N65" t="str" cm="1">
        <f t="array" ref="N65">_xlfn.REGEXEXTRACT(F65,"\d{5}")</f>
        <v>75229</v>
      </c>
    </row>
    <row r="66" spans="1:14" ht="24" x14ac:dyDescent="0.15">
      <c r="A66" s="2" t="s">
        <v>600</v>
      </c>
      <c r="B66" s="2" t="s">
        <v>601</v>
      </c>
      <c r="C66" s="2" t="s">
        <v>528</v>
      </c>
      <c r="D66" s="2" t="s">
        <v>102</v>
      </c>
      <c r="E66" s="2" t="s">
        <v>10</v>
      </c>
      <c r="F66" s="2" t="s">
        <v>204</v>
      </c>
      <c r="G66" s="2"/>
      <c r="H66" s="2"/>
      <c r="I66" s="2" t="str">
        <f>TRIM(CLEAN(SUBSTITUTE(A66,CHAR(10)," ")))</f>
        <v>Silver star wholesale</v>
      </c>
      <c r="J66" s="2" t="str">
        <f>TRIM(CLEAN(SUBSTITUTE(B66,CHAR(10)," ")))</f>
        <v>2605 joe field rd</v>
      </c>
      <c r="K66" s="3" t="str">
        <f>PROPER(TRIM(C66))</f>
        <v>Dallas</v>
      </c>
      <c r="L66" s="8" t="s">
        <v>20</v>
      </c>
      <c r="M66" t="str">
        <f>IF(OR(UPPER(E66)="UNITED STATES",UPPER(E66)="UNITED STATES OF AMERICA",UPPER(E66)="US",UPPER(E66)="USA"),"USA",E66)</f>
        <v>USA</v>
      </c>
      <c r="N66" t="str" cm="1">
        <f t="array" ref="N66">_xlfn.REGEXEXTRACT(F66,"\d{5}")</f>
        <v>75229</v>
      </c>
    </row>
    <row r="67" spans="1:14" ht="36" x14ac:dyDescent="0.15">
      <c r="A67" s="2" t="s">
        <v>1378</v>
      </c>
      <c r="B67" s="2" t="s">
        <v>1379</v>
      </c>
      <c r="C67" s="2" t="s">
        <v>201</v>
      </c>
      <c r="D67" s="2" t="s">
        <v>20</v>
      </c>
      <c r="E67" s="2"/>
      <c r="F67" s="2" t="s">
        <v>204</v>
      </c>
      <c r="G67" s="2"/>
      <c r="H67" s="2"/>
      <c r="I67" s="2" t="str">
        <f>TRIM(CLEAN(SUBSTITUTE(A67,CHAR(10)," ")))</f>
        <v>Texas Wholesale</v>
      </c>
      <c r="J67" s="2" t="str">
        <f>TRIM(CLEAN(SUBSTITUTE(B67,CHAR(10)," ")))</f>
        <v>2667 Northaven Drive</v>
      </c>
      <c r="K67" s="3" t="str">
        <f>PROPER(TRIM(C67))</f>
        <v>Dallas</v>
      </c>
      <c r="L67" t="str">
        <f>UPPER(LEFT(TRIM(D67),2))</f>
        <v>TX</v>
      </c>
      <c r="M67">
        <f>IF(OR(UPPER(E67)="UNITED STATES",UPPER(E67)="UNITED STATES OF AMERICA",UPPER(E67)="US",UPPER(E67)="USA"),"USA",E67)</f>
        <v>0</v>
      </c>
      <c r="N67" t="str" cm="1">
        <f t="array" ref="N67">_xlfn.REGEXEXTRACT(F67,"\d{5}")</f>
        <v>75229</v>
      </c>
    </row>
    <row r="68" spans="1:14" ht="36" x14ac:dyDescent="0.15">
      <c r="A68" s="2" t="s">
        <v>1380</v>
      </c>
      <c r="B68" s="2" t="s">
        <v>1381</v>
      </c>
      <c r="C68" s="2" t="s">
        <v>201</v>
      </c>
      <c r="D68" s="2" t="s">
        <v>20</v>
      </c>
      <c r="E68" s="2" t="s">
        <v>10</v>
      </c>
      <c r="F68" s="2" t="s">
        <v>204</v>
      </c>
      <c r="G68" s="2"/>
      <c r="H68" s="2"/>
      <c r="I68" s="2" t="str">
        <f>TRIM(CLEAN(SUBSTITUTE(A68,CHAR(10)," ")))</f>
        <v>Texas Wholesale - Dallas</v>
      </c>
      <c r="J68" s="2" t="str">
        <f>TRIM(CLEAN(SUBSTITUTE(B68,CHAR(10)," ")))</f>
        <v>2667 Northaven Rd</v>
      </c>
      <c r="K68" s="3" t="str">
        <f>PROPER(TRIM(C68))</f>
        <v>Dallas</v>
      </c>
      <c r="L68" t="str">
        <f>UPPER(LEFT(TRIM(D68),2))</f>
        <v>TX</v>
      </c>
      <c r="M68" t="str">
        <f>IF(OR(UPPER(E68)="UNITED STATES",UPPER(E68)="UNITED STATES OF AMERICA",UPPER(E68)="US",UPPER(E68)="USA"),"USA",E68)</f>
        <v>USA</v>
      </c>
      <c r="N68" t="str" cm="1">
        <f t="array" ref="N68">_xlfn.REGEXEXTRACT(F68,"\d{5}")</f>
        <v>75229</v>
      </c>
    </row>
    <row r="69" spans="1:14" ht="24" x14ac:dyDescent="0.15">
      <c r="A69" s="2" t="s">
        <v>313</v>
      </c>
      <c r="B69" s="2" t="s">
        <v>314</v>
      </c>
      <c r="C69" s="2" t="s">
        <v>201</v>
      </c>
      <c r="D69" s="2" t="s">
        <v>102</v>
      </c>
      <c r="E69" s="2" t="s">
        <v>10</v>
      </c>
      <c r="F69" s="2" t="s">
        <v>315</v>
      </c>
      <c r="G69" s="2"/>
      <c r="H69" s="2"/>
      <c r="I69" s="2" t="str">
        <f>TRIM(CLEAN(SUBSTITUTE(A69,CHAR(10)," ")))</f>
        <v>Chem Nerdz</v>
      </c>
      <c r="J69" s="2" t="str">
        <f>TRIM(CLEAN(SUBSTITUTE(B69,CHAR(10)," ")))</f>
        <v>2671 Manana Dr</v>
      </c>
      <c r="K69" s="3" t="str">
        <f>PROPER(TRIM(C69))</f>
        <v>Dallas</v>
      </c>
      <c r="L69" s="8" t="s">
        <v>20</v>
      </c>
      <c r="M69" t="str">
        <f>IF(OR(UPPER(E69)="UNITED STATES",UPPER(E69)="UNITED STATES OF AMERICA",UPPER(E69)="US",UPPER(E69)="USA"),"USA",E69)</f>
        <v>USA</v>
      </c>
      <c r="N69" t="str" cm="1">
        <f t="array" ref="N69">_xlfn.REGEXEXTRACT(F69,"\d{5}")</f>
        <v>75220</v>
      </c>
    </row>
    <row r="70" spans="1:14" ht="36" x14ac:dyDescent="0.15">
      <c r="A70" s="2" t="s">
        <v>271</v>
      </c>
      <c r="B70" s="2" t="s">
        <v>272</v>
      </c>
      <c r="C70" s="2" t="s">
        <v>201</v>
      </c>
      <c r="D70" s="2" t="s">
        <v>20</v>
      </c>
      <c r="E70" s="2" t="s">
        <v>10</v>
      </c>
      <c r="F70" s="2" t="s">
        <v>273</v>
      </c>
      <c r="G70" s="2"/>
      <c r="H70" s="2"/>
      <c r="I70" s="2" t="str">
        <f>TRIM(CLEAN(SUBSTITUTE(A70,CHAR(10)," ")))</f>
        <v>Baboush Med. Restaurant</v>
      </c>
      <c r="J70" s="2" t="str">
        <f>TRIM(CLEAN(SUBSTITUTE(B70,CHAR(10)," ")))</f>
        <v>3636 Mc Kinney Ave #160</v>
      </c>
      <c r="K70" s="3" t="str">
        <f>PROPER(TRIM(C70))</f>
        <v>Dallas</v>
      </c>
      <c r="L70" t="str">
        <f>UPPER(LEFT(TRIM(D70),2))</f>
        <v>TX</v>
      </c>
      <c r="M70" t="str">
        <f>IF(OR(UPPER(E70)="UNITED STATES",UPPER(E70)="UNITED STATES OF AMERICA",UPPER(E70)="US",UPPER(E70)="USA"),"USA",E70)</f>
        <v>USA</v>
      </c>
      <c r="N70" t="str" cm="1">
        <f t="array" ref="N70">_xlfn.REGEXEXTRACT(F70,"\d{5}")</f>
        <v>75204</v>
      </c>
    </row>
    <row r="71" spans="1:14" ht="36" x14ac:dyDescent="0.15">
      <c r="A71" s="2" t="s">
        <v>587</v>
      </c>
      <c r="B71" s="2" t="s">
        <v>588</v>
      </c>
      <c r="C71" s="2" t="s">
        <v>201</v>
      </c>
      <c r="D71" s="2" t="s">
        <v>102</v>
      </c>
      <c r="E71" s="2" t="s">
        <v>10</v>
      </c>
      <c r="F71" s="2" t="s">
        <v>589</v>
      </c>
      <c r="G71" s="2"/>
      <c r="H71" s="2"/>
      <c r="I71" s="2" t="str">
        <f>TRIM(CLEAN(SUBSTITUTE(A71,CHAR(10)," ")))</f>
        <v>Selda restaurant</v>
      </c>
      <c r="J71" s="2" t="str">
        <f>TRIM(CLEAN(SUBSTITUTE(B71,CHAR(10)," ")))</f>
        <v>6006 Belt Line Road</v>
      </c>
      <c r="K71" s="3" t="str">
        <f>PROPER(TRIM(C71))</f>
        <v>Dallas</v>
      </c>
      <c r="L71" s="8" t="s">
        <v>20</v>
      </c>
      <c r="M71" t="str">
        <f>IF(OR(UPPER(E71)="UNITED STATES",UPPER(E71)="UNITED STATES OF AMERICA",UPPER(E71)="US",UPPER(E71)="USA"),"USA",E71)</f>
        <v>USA</v>
      </c>
      <c r="N71" t="str" cm="1">
        <f t="array" ref="N71">_xlfn.REGEXEXTRACT(F71,"\d{5}")</f>
        <v>75254</v>
      </c>
    </row>
    <row r="72" spans="1:14" ht="36" x14ac:dyDescent="0.15">
      <c r="A72" s="2" t="s">
        <v>241</v>
      </c>
      <c r="B72" s="2" t="s">
        <v>242</v>
      </c>
      <c r="C72" s="2" t="s">
        <v>201</v>
      </c>
      <c r="D72" s="2" t="s">
        <v>20</v>
      </c>
      <c r="E72" s="2" t="s">
        <v>10</v>
      </c>
      <c r="F72" s="2" t="s">
        <v>243</v>
      </c>
      <c r="G72" s="2"/>
      <c r="H72" s="2"/>
      <c r="I72" s="2" t="str">
        <f>TRIM(CLEAN(SUBSTITUTE(A72,CHAR(10)," ")))</f>
        <v>Angel Chicken Kitchen</v>
      </c>
      <c r="J72" s="2" t="str">
        <f>TRIM(CLEAN(SUBSTITUTE(B72,CHAR(10)," ")))</f>
        <v>7632 Campbell Rd 314</v>
      </c>
      <c r="K72" s="3" t="str">
        <f>PROPER(TRIM(C72))</f>
        <v>Dallas</v>
      </c>
      <c r="L72" t="str">
        <f>UPPER(LEFT(TRIM(D72),2))</f>
        <v>TX</v>
      </c>
      <c r="M72" t="str">
        <f>IF(OR(UPPER(E72)="UNITED STATES",UPPER(E72)="UNITED STATES OF AMERICA",UPPER(E72)="US",UPPER(E72)="USA"),"USA",E72)</f>
        <v>USA</v>
      </c>
      <c r="N72" t="str" cm="1">
        <f t="array" ref="N72">_xlfn.REGEXEXTRACT(F72,"\d{5}")</f>
        <v>75248</v>
      </c>
    </row>
    <row r="73" spans="1:14" ht="36" x14ac:dyDescent="0.15">
      <c r="A73" s="2" t="s">
        <v>310</v>
      </c>
      <c r="B73" s="2" t="s">
        <v>311</v>
      </c>
      <c r="C73" s="2" t="s">
        <v>201</v>
      </c>
      <c r="D73" s="2" t="s">
        <v>20</v>
      </c>
      <c r="E73" s="2" t="s">
        <v>10</v>
      </c>
      <c r="F73" s="2" t="s">
        <v>312</v>
      </c>
      <c r="G73" s="2"/>
      <c r="H73" s="2"/>
      <c r="I73" s="2" t="str">
        <f>TRIM(CLEAN(SUBSTITUTE(A73,CHAR(10)," ")))</f>
        <v>Chefika Mediterranean Restaurant</v>
      </c>
      <c r="J73" s="2" t="str">
        <f>TRIM(CLEAN(SUBSTITUTE(B73,CHAR(10)," ")))</f>
        <v>7859 Walnut Hill Ln Ste 170</v>
      </c>
      <c r="K73" s="3" t="str">
        <f>PROPER(TRIM(C73))</f>
        <v>Dallas</v>
      </c>
      <c r="L73" t="str">
        <f>UPPER(LEFT(TRIM(D73),2))</f>
        <v>TX</v>
      </c>
      <c r="M73" t="str">
        <f>IF(OR(UPPER(E73)="UNITED STATES",UPPER(E73)="UNITED STATES OF AMERICA",UPPER(E73)="US",UPPER(E73)="USA"),"USA",E73)</f>
        <v>USA</v>
      </c>
      <c r="N73" t="str" cm="1">
        <f t="array" ref="N73">_xlfn.REGEXEXTRACT(F73,"\d{5}")</f>
        <v>75230</v>
      </c>
    </row>
    <row r="74" spans="1:14" ht="48" x14ac:dyDescent="0.15">
      <c r="A74" s="2" t="s">
        <v>1095</v>
      </c>
      <c r="B74" s="2" t="s">
        <v>1096</v>
      </c>
      <c r="C74" s="2" t="s">
        <v>201</v>
      </c>
      <c r="D74" s="2" t="s">
        <v>15</v>
      </c>
      <c r="E74" s="2" t="s">
        <v>10</v>
      </c>
      <c r="F74" s="2" t="s">
        <v>1097</v>
      </c>
      <c r="G74" s="2"/>
      <c r="H74" s="2"/>
      <c r="I74" s="2" t="str">
        <f>TRIM(CLEAN(SUBSTITUTE(A74,CHAR(10)," ")))</f>
        <v>Hunt's Food Store</v>
      </c>
      <c r="J74" s="2" t="str">
        <f>TRIM(CLEAN(SUBSTITUTE(B74,CHAR(10)," ")))</f>
        <v>7932 S Great Trinity Forest Way, Dallas, TX 75217</v>
      </c>
      <c r="K74" s="3" t="str">
        <f>PROPER(TRIM(C74))</f>
        <v>Dallas</v>
      </c>
      <c r="L74" t="str">
        <f>UPPER(LEFT(TRIM(D74),2))</f>
        <v>TX</v>
      </c>
      <c r="M74" t="str">
        <f>IF(OR(UPPER(E74)="UNITED STATES",UPPER(E74)="UNITED STATES OF AMERICA",UPPER(E74)="US",UPPER(E74)="USA"),"USA",E74)</f>
        <v>USA</v>
      </c>
      <c r="N74" t="str" cm="1">
        <f t="array" ref="N74">_xlfn.REGEXEXTRACT(F74,"\d{5}")</f>
        <v>75217</v>
      </c>
    </row>
    <row r="75" spans="1:14" ht="24" x14ac:dyDescent="0.15">
      <c r="A75" s="2" t="s">
        <v>400</v>
      </c>
      <c r="B75" s="2" t="s">
        <v>401</v>
      </c>
      <c r="C75" s="2" t="s">
        <v>201</v>
      </c>
      <c r="D75" s="2" t="s">
        <v>402</v>
      </c>
      <c r="E75" s="2" t="s">
        <v>10</v>
      </c>
      <c r="F75" s="2" t="s">
        <v>403</v>
      </c>
      <c r="G75" s="2"/>
      <c r="H75" s="2"/>
      <c r="I75" s="2" t="str">
        <f>TRIM(CLEAN(SUBSTITUTE(A75,CHAR(10)," ")))</f>
        <v>Global Food market</v>
      </c>
      <c r="J75" s="2" t="str">
        <f>TRIM(CLEAN(SUBSTITUTE(B75,CHAR(10)," ")))</f>
        <v>800 E Sublett rd Arlington</v>
      </c>
      <c r="K75" s="3" t="str">
        <f>PROPER(TRIM(C75))</f>
        <v>Dallas</v>
      </c>
      <c r="L75" t="str">
        <f>UPPER(LEFT(TRIM(D75),2))</f>
        <v>TX</v>
      </c>
      <c r="M75" t="str">
        <f>IF(OR(UPPER(E75)="UNITED STATES",UPPER(E75)="UNITED STATES OF AMERICA",UPPER(E75)="US",UPPER(E75)="USA"),"USA",E75)</f>
        <v>USA</v>
      </c>
      <c r="N75" t="str" cm="1">
        <f t="array" ref="N75">_xlfn.REGEXEXTRACT(F75,"\d{5}")</f>
        <v>76018</v>
      </c>
    </row>
    <row r="76" spans="1:14" ht="60" x14ac:dyDescent="0.15">
      <c r="A76" s="2" t="s">
        <v>297</v>
      </c>
      <c r="B76" s="2" t="s">
        <v>298</v>
      </c>
      <c r="C76" s="2" t="s">
        <v>201</v>
      </c>
      <c r="D76" s="2" t="s">
        <v>20</v>
      </c>
      <c r="E76" s="2" t="s">
        <v>10</v>
      </c>
      <c r="F76" s="2"/>
      <c r="G76" s="2"/>
      <c r="H76" s="2"/>
      <c r="I76" s="2" t="str">
        <f>TRIM(CLEAN(SUBSTITUTE(A76,CHAR(10)," ")))</f>
        <v>Brothers Market and Bakery (Afghan Halal Market)</v>
      </c>
      <c r="J76" s="2" t="str">
        <f>TRIM(CLEAN(SUBSTITUTE(B76,CHAR(10)," ")))</f>
        <v>9205 Skillman St suite 123</v>
      </c>
      <c r="K76" s="3" t="str">
        <f>PROPER(TRIM(C76))</f>
        <v>Dallas</v>
      </c>
      <c r="L76" t="str">
        <f>UPPER(LEFT(TRIM(D76),2))</f>
        <v>TX</v>
      </c>
      <c r="M76" t="str">
        <f>IF(OR(UPPER(E76)="UNITED STATES",UPPER(E76)="UNITED STATES OF AMERICA",UPPER(E76)="US",UPPER(E76)="USA"),"USA",E76)</f>
        <v>USA</v>
      </c>
      <c r="N76" t="e" cm="1" vm="1">
        <f t="array" ref="N76">_xlfn.REGEXEXTRACT(F76,"\d{5}")</f>
        <v>#N/A</v>
      </c>
    </row>
    <row r="77" spans="1:14" ht="24" x14ac:dyDescent="0.15">
      <c r="A77" s="2" t="s">
        <v>487</v>
      </c>
      <c r="B77" s="2" t="s">
        <v>488</v>
      </c>
      <c r="C77" s="2" t="s">
        <v>201</v>
      </c>
      <c r="D77" s="2" t="s">
        <v>20</v>
      </c>
      <c r="E77" s="2" t="s">
        <v>10</v>
      </c>
      <c r="F77" s="2" t="s">
        <v>489</v>
      </c>
      <c r="G77" s="2"/>
      <c r="H77" s="2"/>
      <c r="I77" s="2" t="str">
        <f>TRIM(CLEAN(SUBSTITUTE(A77,CHAR(10)," ")))</f>
        <v>Kabul Cuisine</v>
      </c>
      <c r="J77" s="2" t="str">
        <f>TRIM(CLEAN(SUBSTITUTE(B77,CHAR(10)," ")))</f>
        <v>9205 Skillman St Suite 125</v>
      </c>
      <c r="K77" s="3" t="str">
        <f>PROPER(TRIM(C77))</f>
        <v>Dallas</v>
      </c>
      <c r="L77" t="str">
        <f>UPPER(LEFT(TRIM(D77),2))</f>
        <v>TX</v>
      </c>
      <c r="M77" t="str">
        <f>IF(OR(UPPER(E77)="UNITED STATES",UPPER(E77)="UNITED STATES OF AMERICA",UPPER(E77)="US",UPPER(E77)="USA"),"USA",E77)</f>
        <v>USA</v>
      </c>
      <c r="N77" t="str" cm="1">
        <f t="array" ref="N77">_xlfn.REGEXEXTRACT(F77,"\d{5}")</f>
        <v>75243</v>
      </c>
    </row>
    <row r="78" spans="1:14" ht="60" x14ac:dyDescent="0.15">
      <c r="A78" s="2" t="s">
        <v>578</v>
      </c>
      <c r="B78" s="2" t="s">
        <v>579</v>
      </c>
      <c r="C78" s="2" t="s">
        <v>580</v>
      </c>
      <c r="D78" s="2" t="s">
        <v>20</v>
      </c>
      <c r="E78" s="2" t="s">
        <v>10</v>
      </c>
      <c r="F78" s="2" t="s">
        <v>489</v>
      </c>
      <c r="G78" s="2"/>
      <c r="H78" s="2"/>
      <c r="I78" s="2" t="str">
        <f>TRIM(CLEAN(SUBSTITUTE(A78,CHAR(10)," ")))</f>
        <v>Salam Supermarket (HALAL)</v>
      </c>
      <c r="J78" s="2" t="str">
        <f>TRIM(CLEAN(SUBSTITUTE(B78,CHAR(10)," ")))</f>
        <v>9780 Lyndon B Johnson Fwy suite 110, Dallas, TX 75243</v>
      </c>
      <c r="K78" s="3" t="str">
        <f>PROPER(TRIM(C78))</f>
        <v>Dallas</v>
      </c>
      <c r="L78" t="str">
        <f>UPPER(LEFT(TRIM(D78),2))</f>
        <v>TX</v>
      </c>
      <c r="M78" t="str">
        <f>IF(OR(UPPER(E78)="UNITED STATES",UPPER(E78)="UNITED STATES OF AMERICA",UPPER(E78)="US",UPPER(E78)="USA"),"USA",E78)</f>
        <v>USA</v>
      </c>
      <c r="N78" t="str" cm="1">
        <f t="array" ref="N78">_xlfn.REGEXEXTRACT(F78,"\d{5}")</f>
        <v>75243</v>
      </c>
    </row>
    <row r="79" spans="1:14" ht="24" x14ac:dyDescent="0.15">
      <c r="A79" s="2" t="s">
        <v>202</v>
      </c>
      <c r="B79" s="2" t="s">
        <v>203</v>
      </c>
      <c r="C79" s="2" t="s">
        <v>201</v>
      </c>
      <c r="D79" s="2" t="s">
        <v>102</v>
      </c>
      <c r="E79" s="2" t="s">
        <v>10</v>
      </c>
      <c r="F79" s="2" t="s">
        <v>204</v>
      </c>
      <c r="G79" s="2"/>
      <c r="H79" s="2"/>
      <c r="I79" s="2" t="str">
        <f>TRIM(CLEAN(SUBSTITUTE(A79,CHAR(10)," ")))</f>
        <v>A1 wholesale</v>
      </c>
      <c r="J79" s="2" t="str">
        <f>TRIM(CLEAN(SUBSTITUTE(B79,CHAR(10)," ")))</f>
        <v>Southwell Road</v>
      </c>
      <c r="K79" s="3" t="str">
        <f>PROPER(TRIM(C79))</f>
        <v>Dallas</v>
      </c>
      <c r="L79" s="8" t="s">
        <v>20</v>
      </c>
      <c r="M79" t="str">
        <f>IF(OR(UPPER(E79)="UNITED STATES",UPPER(E79)="UNITED STATES OF AMERICA",UPPER(E79)="US",UPPER(E79)="USA"),"USA",E79)</f>
        <v>USA</v>
      </c>
      <c r="N79" t="str" cm="1">
        <f t="array" ref="N79">_xlfn.REGEXEXTRACT(F79,"\d{5}")</f>
        <v>75229</v>
      </c>
    </row>
    <row r="80" spans="1:14" x14ac:dyDescent="0.15">
      <c r="A80" s="2" t="s">
        <v>671</v>
      </c>
      <c r="B80" s="2" t="s">
        <v>672</v>
      </c>
      <c r="C80" s="2" t="s">
        <v>673</v>
      </c>
      <c r="D80" s="2" t="s">
        <v>157</v>
      </c>
      <c r="E80" s="2" t="s">
        <v>10</v>
      </c>
      <c r="F80" s="2" t="s">
        <v>674</v>
      </c>
      <c r="G80" s="2"/>
      <c r="H80" s="2"/>
      <c r="I80" s="2" t="str">
        <f>TRIM(CLEAN(SUBSTITUTE(A80,CHAR(10)," ")))</f>
        <v>Ercan Inc</v>
      </c>
      <c r="J80" s="2" t="str">
        <f>TRIM(CLEAN(SUBSTITUTE(B80,CHAR(10)," ")))</f>
        <v>1275 Rand Rd</v>
      </c>
      <c r="K80" s="3" t="str">
        <f>PROPER(TRIM(C80))</f>
        <v>Des Plaines</v>
      </c>
      <c r="L80" t="str">
        <f>UPPER(LEFT(TRIM(D80),2))</f>
        <v>IL</v>
      </c>
      <c r="M80" t="str">
        <f>IF(OR(UPPER(E80)="UNITED STATES",UPPER(E80)="UNITED STATES OF AMERICA",UPPER(E80)="US",UPPER(E80)="USA"),"USA",E80)</f>
        <v>USA</v>
      </c>
      <c r="N80" t="str" cm="1">
        <f t="array" ref="N80">_xlfn.REGEXEXTRACT(F80,"\d{5}")</f>
        <v>60016</v>
      </c>
    </row>
    <row r="81" spans="1:14" ht="24" x14ac:dyDescent="0.15">
      <c r="A81" s="2" t="s">
        <v>40</v>
      </c>
      <c r="B81" s="2" t="s">
        <v>41</v>
      </c>
      <c r="C81" s="2" t="s">
        <v>42</v>
      </c>
      <c r="D81" s="2" t="s">
        <v>43</v>
      </c>
      <c r="E81" s="2" t="s">
        <v>10</v>
      </c>
      <c r="F81" s="2" t="s">
        <v>44</v>
      </c>
      <c r="G81" s="2"/>
      <c r="H81" s="2"/>
      <c r="I81" s="2" t="str">
        <f>TRIM(CLEAN(SUBSTITUTE(A81,CHAR(10)," ")))</f>
        <v>ALL GOOD EAT LLC</v>
      </c>
      <c r="J81" s="2" t="str">
        <f>TRIM(CLEAN(SUBSTITUTE(B81,CHAR(10)," ")))</f>
        <v>14 water wheel ln</v>
      </c>
      <c r="K81" s="3" t="str">
        <f>PROPER(TRIM(C81))</f>
        <v>Easton</v>
      </c>
      <c r="L81" t="str">
        <f>UPPER(LEFT(TRIM(D81),2))</f>
        <v>PE</v>
      </c>
      <c r="M81" t="str">
        <f>IF(OR(UPPER(E81)="UNITED STATES",UPPER(E81)="UNITED STATES OF AMERICA",UPPER(E81)="US",UPPER(E81)="USA"),"USA",E81)</f>
        <v>USA</v>
      </c>
      <c r="N81" t="str" cm="1">
        <f t="array" ref="N81">_xlfn.REGEXEXTRACT(F81,"\d{5}")</f>
        <v>18045</v>
      </c>
    </row>
    <row r="82" spans="1:14" ht="36" x14ac:dyDescent="0.15">
      <c r="A82" s="2" t="s">
        <v>1113</v>
      </c>
      <c r="B82" s="2" t="s">
        <v>1114</v>
      </c>
      <c r="C82" s="2" t="s">
        <v>1115</v>
      </c>
      <c r="D82" s="2" t="s">
        <v>20</v>
      </c>
      <c r="E82" s="2" t="s">
        <v>152</v>
      </c>
      <c r="F82" s="2" t="s">
        <v>1116</v>
      </c>
      <c r="G82" s="2"/>
      <c r="H82" s="2"/>
      <c r="I82" s="2" t="str">
        <f>TRIM(CLEAN(SUBSTITUTE(A82,CHAR(10)," ")))</f>
        <v>jerusalem international foods</v>
      </c>
      <c r="J82" s="2" t="str">
        <f>TRIM(CLEAN(SUBSTITUTE(B82,CHAR(10)," ")))</f>
        <v>5360 N Mesa St, El Paso, TX 79912</v>
      </c>
      <c r="K82" s="3" t="str">
        <f>PROPER(TRIM(C82))</f>
        <v>El Paso</v>
      </c>
      <c r="L82" t="str">
        <f>UPPER(LEFT(TRIM(D82),2))</f>
        <v>TX</v>
      </c>
      <c r="M82" t="str">
        <f>IF(OR(UPPER(E82)="UNITED STATES",UPPER(E82)="UNITED STATES OF AMERICA",UPPER(E82)="US",UPPER(E82)="USA"),"USA",E82)</f>
        <v>USA</v>
      </c>
      <c r="N82" t="str" cm="1">
        <f t="array" ref="N82">_xlfn.REGEXEXTRACT(F82,"\d{5}")</f>
        <v>79912</v>
      </c>
    </row>
    <row r="83" spans="1:14" ht="24" x14ac:dyDescent="0.15">
      <c r="A83" s="2" t="s">
        <v>36</v>
      </c>
      <c r="B83" s="2" t="s">
        <v>37</v>
      </c>
      <c r="C83" s="2" t="s">
        <v>38</v>
      </c>
      <c r="D83" s="2" t="s">
        <v>20</v>
      </c>
      <c r="E83" s="2" t="s">
        <v>10</v>
      </c>
      <c r="F83" s="2" t="s">
        <v>39</v>
      </c>
      <c r="G83" s="2"/>
      <c r="H83" s="2"/>
      <c r="I83" s="2" t="str">
        <f>TRIM(CLEAN(SUBSTITUTE(A83,CHAR(10)," ")))</f>
        <v>Robles Products</v>
      </c>
      <c r="J83" s="2" t="str">
        <f>TRIM(CLEAN(SUBSTITUTE(B83,CHAR(10)," ")))</f>
        <v>1784 ELSA</v>
      </c>
      <c r="K83" s="3" t="str">
        <f>PROPER(TRIM(C83))</f>
        <v>Elsa</v>
      </c>
      <c r="L83" t="str">
        <f>UPPER(LEFT(TRIM(D83),2))</f>
        <v>TX</v>
      </c>
      <c r="M83" t="str">
        <f>IF(OR(UPPER(E83)="UNITED STATES",UPPER(E83)="UNITED STATES OF AMERICA",UPPER(E83)="US",UPPER(E83)="USA"),"USA",E83)</f>
        <v>USA</v>
      </c>
      <c r="N83" t="str" cm="1">
        <f t="array" ref="N83">_xlfn.REGEXEXTRACT(F83,"\d{5}")</f>
        <v>78543</v>
      </c>
    </row>
    <row r="84" spans="1:14" ht="36" x14ac:dyDescent="0.15">
      <c r="A84" s="2" t="s">
        <v>269</v>
      </c>
      <c r="B84" s="2" t="s">
        <v>270</v>
      </c>
      <c r="C84" s="2" t="s">
        <v>224</v>
      </c>
      <c r="D84" s="2" t="s">
        <v>20</v>
      </c>
      <c r="E84" s="2" t="s">
        <v>10</v>
      </c>
      <c r="F84" s="2" t="s">
        <v>225</v>
      </c>
      <c r="G84" s="2"/>
      <c r="H84" s="2"/>
      <c r="I84" s="2" t="str">
        <f>TRIM(CLEAN(SUBSTITUTE(A84,CHAR(10)," ")))</f>
        <v>Baba's International Market</v>
      </c>
      <c r="J84" s="2" t="str">
        <f>TRIM(CLEAN(SUBSTITUTE(B84,CHAR(10)," ")))</f>
        <v>203 S Ector Dr</v>
      </c>
      <c r="K84" s="3" t="str">
        <f>PROPER(TRIM(C84))</f>
        <v>Euless</v>
      </c>
      <c r="L84" t="str">
        <f>UPPER(LEFT(TRIM(D84),2))</f>
        <v>TX</v>
      </c>
      <c r="M84" t="str">
        <f>IF(OR(UPPER(E84)="UNITED STATES",UPPER(E84)="UNITED STATES OF AMERICA",UPPER(E84)="US",UPPER(E84)="USA"),"USA",E84)</f>
        <v>USA</v>
      </c>
      <c r="N84" t="str" cm="1">
        <f t="array" ref="N84">_xlfn.REGEXEXTRACT(F84,"\d{5}")</f>
        <v>76040</v>
      </c>
    </row>
    <row r="85" spans="1:14" ht="24" x14ac:dyDescent="0.15">
      <c r="A85" s="2" t="s">
        <v>222</v>
      </c>
      <c r="B85" s="2" t="s">
        <v>223</v>
      </c>
      <c r="C85" s="2" t="s">
        <v>224</v>
      </c>
      <c r="D85" s="2" t="s">
        <v>20</v>
      </c>
      <c r="E85" s="2" t="s">
        <v>10</v>
      </c>
      <c r="F85" s="2" t="s">
        <v>225</v>
      </c>
      <c r="G85" s="2"/>
      <c r="H85" s="2"/>
      <c r="I85" s="2" t="str">
        <f>TRIM(CLEAN(SUBSTITUTE(A85,CHAR(10)," ")))</f>
        <v>Alamir Market</v>
      </c>
      <c r="J85" s="2" t="str">
        <f>TRIM(CLEAN(SUBSTITUTE(B85,CHAR(10)," ")))</f>
        <v>207 Martha St</v>
      </c>
      <c r="K85" s="3" t="str">
        <f>PROPER(TRIM(C85))</f>
        <v>Euless</v>
      </c>
      <c r="L85" t="str">
        <f>UPPER(LEFT(TRIM(D85),2))</f>
        <v>TX</v>
      </c>
      <c r="M85" t="str">
        <f>IF(OR(UPPER(E85)="UNITED STATES",UPPER(E85)="UNITED STATES OF AMERICA",UPPER(E85)="US",UPPER(E85)="USA"),"USA",E85)</f>
        <v>USA</v>
      </c>
      <c r="N85" t="str" cm="1">
        <f t="array" ref="N85">_xlfn.REGEXEXTRACT(F85,"\d{5}")</f>
        <v>76040</v>
      </c>
    </row>
    <row r="86" spans="1:14" ht="36" x14ac:dyDescent="0.15">
      <c r="A86" s="2" t="s">
        <v>431</v>
      </c>
      <c r="B86" s="2" t="s">
        <v>432</v>
      </c>
      <c r="C86" s="2" t="s">
        <v>433</v>
      </c>
      <c r="D86" s="2" t="s">
        <v>20</v>
      </c>
      <c r="E86" s="2" t="s">
        <v>10</v>
      </c>
      <c r="F86" s="2" t="s">
        <v>434</v>
      </c>
      <c r="G86" s="2"/>
      <c r="H86" s="2"/>
      <c r="I86" s="2" t="str">
        <f>TRIM(CLEAN(SUBSTITUTE(A86,CHAR(10)," ")))</f>
        <v>HALAL ALBARAKA GROCERY</v>
      </c>
      <c r="J86" s="2" t="str">
        <f>TRIM(CLEAN(SUBSTITUTE(B86,CHAR(10)," ")))</f>
        <v>406 N MAIN ST.</v>
      </c>
      <c r="K86" s="3" t="str">
        <f>PROPER(TRIM(C86))</f>
        <v>Euless</v>
      </c>
      <c r="L86" t="str">
        <f>UPPER(LEFT(TRIM(D86),2))</f>
        <v>TX</v>
      </c>
      <c r="M86" t="str">
        <f>IF(OR(UPPER(E86)="UNITED STATES",UPPER(E86)="UNITED STATES OF AMERICA",UPPER(E86)="US",UPPER(E86)="USA"),"USA",E86)</f>
        <v>USA</v>
      </c>
      <c r="N86" t="str" cm="1">
        <f t="array" ref="N86">_xlfn.REGEXEXTRACT(F86,"\d{5}")</f>
        <v>76039</v>
      </c>
    </row>
    <row r="87" spans="1:14" ht="48" x14ac:dyDescent="0.15">
      <c r="A87" s="2" t="s">
        <v>606</v>
      </c>
      <c r="B87" s="2" t="s">
        <v>607</v>
      </c>
      <c r="C87" s="2" t="s">
        <v>224</v>
      </c>
      <c r="D87" s="2" t="s">
        <v>20</v>
      </c>
      <c r="E87" s="2" t="s">
        <v>10</v>
      </c>
      <c r="F87" s="2" t="s">
        <v>434</v>
      </c>
      <c r="G87" s="2"/>
      <c r="H87" s="2"/>
      <c r="I87" s="2" t="str">
        <f>TRIM(CLEAN(SUBSTITUTE(A87,CHAR(10)," ")))</f>
        <v>St. Mark Specialty Food Fresh Halal Market</v>
      </c>
      <c r="J87" s="2" t="str">
        <f>TRIM(CLEAN(SUBSTITUTE(B87,CHAR(10)," ")))</f>
        <v>501 N Main St Suite 139</v>
      </c>
      <c r="K87" s="3" t="str">
        <f>PROPER(TRIM(C87))</f>
        <v>Euless</v>
      </c>
      <c r="L87" t="str">
        <f>UPPER(LEFT(TRIM(D87),2))</f>
        <v>TX</v>
      </c>
      <c r="M87" t="str">
        <f>IF(OR(UPPER(E87)="UNITED STATES",UPPER(E87)="UNITED STATES OF AMERICA",UPPER(E87)="US",UPPER(E87)="USA"),"USA",E87)</f>
        <v>USA</v>
      </c>
      <c r="N87" t="str" cm="1">
        <f t="array" ref="N87">_xlfn.REGEXEXTRACT(F87,"\d{5}")</f>
        <v>76039</v>
      </c>
    </row>
    <row r="88" spans="1:14" ht="24" x14ac:dyDescent="0.15">
      <c r="A88" s="2" t="s">
        <v>45</v>
      </c>
      <c r="B88" s="2" t="s">
        <v>46</v>
      </c>
      <c r="C88" s="2" t="s">
        <v>47</v>
      </c>
      <c r="D88" s="2" t="s">
        <v>48</v>
      </c>
      <c r="E88" s="2" t="s">
        <v>10</v>
      </c>
      <c r="F88" s="2" t="s">
        <v>49</v>
      </c>
      <c r="G88" s="2"/>
      <c r="H88" s="2"/>
      <c r="I88" s="2" t="str">
        <f>TRIM(CLEAN(SUBSTITUTE(A88,CHAR(10)," ")))</f>
        <v>Anka Foods</v>
      </c>
      <c r="J88" s="2" t="str">
        <f>TRIM(CLEAN(SUBSTITUTE(B88,CHAR(10)," ")))</f>
        <v>123 Lehigh Dr Suite B</v>
      </c>
      <c r="K88" s="3" t="str">
        <f>PROPER(TRIM(C88))</f>
        <v>Fairfield</v>
      </c>
      <c r="L88" t="str">
        <f>UPPER(LEFT(TRIM(D88),2))</f>
        <v>NJ</v>
      </c>
      <c r="M88" t="str">
        <f>IF(OR(UPPER(E88)="UNITED STATES",UPPER(E88)="UNITED STATES OF AMERICA",UPPER(E88)="US",UPPER(E88)="USA"),"USA",E88)</f>
        <v>USA</v>
      </c>
      <c r="N88" t="str" cm="1">
        <f t="array" ref="N88">_xlfn.REGEXEXTRACT(F88,"\d{5}")</f>
        <v>07004</v>
      </c>
    </row>
    <row r="89" spans="1:14" ht="24" x14ac:dyDescent="0.15">
      <c r="A89" s="2" t="s">
        <v>1184</v>
      </c>
      <c r="B89" s="2" t="s">
        <v>46</v>
      </c>
      <c r="C89" s="2" t="s">
        <v>47</v>
      </c>
      <c r="D89" s="2" t="s">
        <v>48</v>
      </c>
      <c r="E89" s="2" t="s">
        <v>10</v>
      </c>
      <c r="F89" s="2" t="s">
        <v>49</v>
      </c>
      <c r="G89" s="2"/>
      <c r="H89" s="2"/>
      <c r="I89" s="2" t="str">
        <f>TRIM(CLEAN(SUBSTITUTE(A89,CHAR(10)," ")))</f>
        <v>MODA FOOD NJ</v>
      </c>
      <c r="J89" s="2" t="str">
        <f>TRIM(CLEAN(SUBSTITUTE(B89,CHAR(10)," ")))</f>
        <v>123 Lehigh Dr Suite B</v>
      </c>
      <c r="K89" s="3" t="str">
        <f>PROPER(TRIM(C89))</f>
        <v>Fairfield</v>
      </c>
      <c r="L89" t="str">
        <f>UPPER(LEFT(TRIM(D89),2))</f>
        <v>NJ</v>
      </c>
      <c r="M89" t="str">
        <f>IF(OR(UPPER(E89)="UNITED STATES",UPPER(E89)="UNITED STATES OF AMERICA",UPPER(E89)="US",UPPER(E89)="USA"),"USA",E89)</f>
        <v>USA</v>
      </c>
      <c r="N89" t="str" cm="1">
        <f t="array" ref="N89">_xlfn.REGEXEXTRACT(F89,"\d{5}")</f>
        <v>07004</v>
      </c>
    </row>
    <row r="90" spans="1:14" ht="24" x14ac:dyDescent="0.15">
      <c r="A90" s="2" t="s">
        <v>395</v>
      </c>
      <c r="B90" s="2" t="s">
        <v>396</v>
      </c>
      <c r="C90" s="2" t="s">
        <v>364</v>
      </c>
      <c r="D90" s="2" t="s">
        <v>15</v>
      </c>
      <c r="E90" s="2" t="s">
        <v>10</v>
      </c>
      <c r="F90" s="2" t="s">
        <v>397</v>
      </c>
      <c r="G90" s="2"/>
      <c r="H90" s="2"/>
      <c r="I90" s="2" t="str">
        <f>TRIM(CLEAN(SUBSTITUTE(A90,CHAR(10)," ")))</f>
        <v>Fresh ready market</v>
      </c>
      <c r="J90" s="2" t="str">
        <f>TRIM(CLEAN(SUBSTITUTE(B90,CHAR(10)," ")))</f>
        <v>10744 n beach st. ,</v>
      </c>
      <c r="K90" s="3" t="str">
        <f>PROPER(TRIM(C90))</f>
        <v>Fort Worth</v>
      </c>
      <c r="L90" t="str">
        <f>UPPER(LEFT(TRIM(D90),2))</f>
        <v>TX</v>
      </c>
      <c r="M90" t="str">
        <f>IF(OR(UPPER(E90)="UNITED STATES",UPPER(E90)="UNITED STATES OF AMERICA",UPPER(E90)="US",UPPER(E90)="USA"),"USA",E90)</f>
        <v>USA</v>
      </c>
      <c r="N90" t="str" cm="1">
        <f t="array" ref="N90">_xlfn.REGEXEXTRACT(F90,"\d{5}")</f>
        <v>76244</v>
      </c>
    </row>
    <row r="91" spans="1:14" ht="48" x14ac:dyDescent="0.15">
      <c r="A91" s="2" t="s">
        <v>209</v>
      </c>
      <c r="B91" s="2" t="s">
        <v>210</v>
      </c>
      <c r="C91" s="2" t="s">
        <v>199</v>
      </c>
      <c r="D91" s="2" t="s">
        <v>20</v>
      </c>
      <c r="E91" s="2" t="s">
        <v>10</v>
      </c>
      <c r="F91" s="2" t="s">
        <v>211</v>
      </c>
      <c r="G91" s="2"/>
      <c r="H91" s="2"/>
      <c r="I91" s="2" t="str">
        <f>TRIM(CLEAN(SUBSTITUTE(A91,CHAR(10)," ")))</f>
        <v>Afghan Halal Market (Mama) DFW</v>
      </c>
      <c r="J91" s="2" t="str">
        <f>TRIM(CLEAN(SUBSTITUTE(B91,CHAR(10)," ")))</f>
        <v>1116 E Seminary Dr</v>
      </c>
      <c r="K91" s="3" t="str">
        <f>PROPER(TRIM(C91))</f>
        <v>Fort Worth</v>
      </c>
      <c r="L91" t="str">
        <f>UPPER(LEFT(TRIM(D91),2))</f>
        <v>TX</v>
      </c>
      <c r="M91" t="str">
        <f>IF(OR(UPPER(E91)="UNITED STATES",UPPER(E91)="UNITED STATES OF AMERICA",UPPER(E91)="US",UPPER(E91)="USA"),"USA",E91)</f>
        <v>USA</v>
      </c>
      <c r="N91" t="str" cm="1">
        <f t="array" ref="N91">_xlfn.REGEXEXTRACT(F91,"\d{5}")</f>
        <v>76115</v>
      </c>
    </row>
    <row r="92" spans="1:14" ht="36" x14ac:dyDescent="0.15">
      <c r="A92" s="2" t="s">
        <v>212</v>
      </c>
      <c r="B92" s="2" t="s">
        <v>213</v>
      </c>
      <c r="C92" s="2" t="s">
        <v>199</v>
      </c>
      <c r="D92" s="2" t="s">
        <v>20</v>
      </c>
      <c r="E92" s="2" t="s">
        <v>10</v>
      </c>
      <c r="F92" s="2" t="s">
        <v>211</v>
      </c>
      <c r="G92" s="2"/>
      <c r="H92" s="2"/>
      <c r="I92" s="2" t="str">
        <f>TRIM(CLEAN(SUBSTITUTE(A92,CHAR(10)," ")))</f>
        <v>Afghan Halal Market Texas (MANAN)</v>
      </c>
      <c r="J92" s="2" t="str">
        <f>TRIM(CLEAN(SUBSTITUTE(B92,CHAR(10)," ")))</f>
        <v>1121 E Seminary Dr,v</v>
      </c>
      <c r="K92" s="3" t="str">
        <f>PROPER(TRIM(C92))</f>
        <v>Fort Worth</v>
      </c>
      <c r="L92" t="str">
        <f>UPPER(LEFT(TRIM(D92),2))</f>
        <v>TX</v>
      </c>
      <c r="M92" t="str">
        <f>IF(OR(UPPER(E92)="UNITED STATES",UPPER(E92)="UNITED STATES OF AMERICA",UPPER(E92)="US",UPPER(E92)="USA"),"USA",E92)</f>
        <v>USA</v>
      </c>
      <c r="N92" t="str" cm="1">
        <f t="array" ref="N92">_xlfn.REGEXEXTRACT(F92,"\d{5}")</f>
        <v>76115</v>
      </c>
    </row>
    <row r="93" spans="1:14" ht="36" x14ac:dyDescent="0.15">
      <c r="A93" s="2" t="s">
        <v>362</v>
      </c>
      <c r="B93" s="2" t="s">
        <v>363</v>
      </c>
      <c r="C93" s="2" t="s">
        <v>364</v>
      </c>
      <c r="D93" s="2" t="s">
        <v>15</v>
      </c>
      <c r="E93" s="2" t="s">
        <v>10</v>
      </c>
      <c r="F93" s="2" t="s">
        <v>365</v>
      </c>
      <c r="G93" s="2"/>
      <c r="H93" s="2"/>
      <c r="I93" s="2" t="str">
        <f>TRIM(CLEAN(SUBSTITUTE(A93,CHAR(10)," ")))</f>
        <v>Downtown Shawarma</v>
      </c>
      <c r="J93" s="2" t="str">
        <f>TRIM(CLEAN(SUBSTITUTE(B93,CHAR(10)," ")))</f>
        <v>118 n henderson st</v>
      </c>
      <c r="K93" s="3" t="str">
        <f>PROPER(TRIM(C93))</f>
        <v>Fort Worth</v>
      </c>
      <c r="L93" t="str">
        <f>UPPER(LEFT(TRIM(D93),2))</f>
        <v>TX</v>
      </c>
      <c r="M93" t="str">
        <f>IF(OR(UPPER(E93)="UNITED STATES",UPPER(E93)="UNITED STATES OF AMERICA",UPPER(E93)="US",UPPER(E93)="USA"),"USA",E93)</f>
        <v>USA</v>
      </c>
      <c r="N93" t="str" cm="1">
        <f t="array" ref="N93">_xlfn.REGEXEXTRACT(F93,"\d{5}")</f>
        <v>76102</v>
      </c>
    </row>
    <row r="94" spans="1:14" ht="24" x14ac:dyDescent="0.15">
      <c r="A94" s="2" t="s">
        <v>450</v>
      </c>
      <c r="B94" s="2" t="s">
        <v>451</v>
      </c>
      <c r="C94" s="2" t="s">
        <v>199</v>
      </c>
      <c r="D94" s="2" t="s">
        <v>20</v>
      </c>
      <c r="E94" s="2" t="s">
        <v>10</v>
      </c>
      <c r="F94" s="2" t="s">
        <v>452</v>
      </c>
      <c r="G94" s="2"/>
      <c r="H94" s="2"/>
      <c r="I94" s="2" t="str">
        <f>TRIM(CLEAN(SUBSTITUTE(A94,CHAR(10)," ")))</f>
        <v>HOT SPOT GYRO</v>
      </c>
      <c r="J94" s="2" t="str">
        <f>TRIM(CLEAN(SUBSTITUTE(B94,CHAR(10)," ")))</f>
        <v>2727 , 8th Aven.</v>
      </c>
      <c r="K94" s="3" t="str">
        <f>PROPER(TRIM(C94))</f>
        <v>Fort Worth</v>
      </c>
      <c r="L94" t="str">
        <f>UPPER(LEFT(TRIM(D94),2))</f>
        <v>TX</v>
      </c>
      <c r="M94" t="str">
        <f>IF(OR(UPPER(E94)="UNITED STATES",UPPER(E94)="UNITED STATES OF AMERICA",UPPER(E94)="US",UPPER(E94)="USA"),"USA",E94)</f>
        <v>USA</v>
      </c>
      <c r="N94" t="str" cm="1">
        <f t="array" ref="N94">_xlfn.REGEXEXTRACT(F94,"\d{5}")</f>
        <v>76110</v>
      </c>
    </row>
    <row r="95" spans="1:14" ht="48" x14ac:dyDescent="0.15">
      <c r="A95" s="2" t="s">
        <v>534</v>
      </c>
      <c r="B95" s="2" t="s">
        <v>535</v>
      </c>
      <c r="C95" s="2" t="s">
        <v>199</v>
      </c>
      <c r="D95" s="2" t="s">
        <v>20</v>
      </c>
      <c r="E95" s="2" t="s">
        <v>10</v>
      </c>
      <c r="F95" s="2" t="s">
        <v>234</v>
      </c>
      <c r="G95" s="2"/>
      <c r="H95" s="2"/>
      <c r="I95" s="2" t="str">
        <f>TRIM(CLEAN(SUBSTITUTE(A95,CHAR(10)," ")))</f>
        <v>Olive Kabab &amp; Gyro</v>
      </c>
      <c r="J95" s="2" t="str">
        <f>TRIM(CLEAN(SUBSTITUTE(B95,CHAR(10)," ")))</f>
        <v>4550 Basswood Blvd. #120</v>
      </c>
      <c r="K95" s="3" t="str">
        <f>PROPER(TRIM(C95))</f>
        <v>Fort Worth</v>
      </c>
      <c r="L95" t="str">
        <f>UPPER(LEFT(TRIM(D95),2))</f>
        <v>TX</v>
      </c>
      <c r="M95" t="str">
        <f>IF(OR(UPPER(E95)="UNITED STATES",UPPER(E95)="UNITED STATES OF AMERICA",UPPER(E95)="US",UPPER(E95)="USA"),"USA",E95)</f>
        <v>USA</v>
      </c>
      <c r="N95" t="str" cm="1">
        <f t="array" ref="N95">_xlfn.REGEXEXTRACT(F95,"\d{5}")</f>
        <v>76137</v>
      </c>
    </row>
    <row r="96" spans="1:14" ht="48" x14ac:dyDescent="0.15">
      <c r="A96" s="2" t="s">
        <v>320</v>
      </c>
      <c r="B96" s="2" t="s">
        <v>321</v>
      </c>
      <c r="C96" s="2" t="s">
        <v>199</v>
      </c>
      <c r="D96" s="2" t="s">
        <v>20</v>
      </c>
      <c r="E96" s="2" t="s">
        <v>10</v>
      </c>
      <c r="F96" s="2" t="s">
        <v>322</v>
      </c>
      <c r="G96" s="2"/>
      <c r="H96" s="2"/>
      <c r="I96" s="2" t="str">
        <f>TRIM(CLEAN(SUBSTITUTE(A96,CHAR(10)," ")))</f>
        <v>Colors Grocery/Indian &amp; European Food</v>
      </c>
      <c r="J96" s="2" t="str">
        <f>TRIM(CLEAN(SUBSTITUTE(B96,CHAR(10)," ")))</f>
        <v>5054 Trail Lake Dr</v>
      </c>
      <c r="K96" s="3" t="str">
        <f>PROPER(TRIM(C96))</f>
        <v>Fort Worth</v>
      </c>
      <c r="L96" t="str">
        <f>UPPER(LEFT(TRIM(D96),2))</f>
        <v>TX</v>
      </c>
      <c r="M96" t="str">
        <f>IF(OR(UPPER(E96)="UNITED STATES",UPPER(E96)="UNITED STATES OF AMERICA",UPPER(E96)="US",UPPER(E96)="USA"),"USA",E96)</f>
        <v>USA</v>
      </c>
      <c r="N96" t="str" cm="1">
        <f t="array" ref="N96">_xlfn.REGEXEXTRACT(F96,"\d{5}")</f>
        <v>76133</v>
      </c>
    </row>
    <row r="97" spans="1:14" ht="60" x14ac:dyDescent="0.15">
      <c r="A97" s="2" t="s">
        <v>512</v>
      </c>
      <c r="B97" s="2" t="s">
        <v>513</v>
      </c>
      <c r="C97" s="2" t="s">
        <v>199</v>
      </c>
      <c r="D97" s="2" t="s">
        <v>20</v>
      </c>
      <c r="E97" s="2" t="s">
        <v>10</v>
      </c>
      <c r="F97" s="2" t="s">
        <v>234</v>
      </c>
      <c r="G97" s="2"/>
      <c r="H97" s="2"/>
      <c r="I97" s="2" t="str">
        <f>TRIM(CLEAN(SUBSTITUTE(A97,CHAR(10)," ")))</f>
        <v>M&amp;K Mediterranean Grocery &amp; Grill</v>
      </c>
      <c r="J97" s="2" t="str">
        <f>TRIM(CLEAN(SUBSTITUTE(B97,CHAR(10)," ")))</f>
        <v>5250 N Tarrant Pkwy #122, Fort Worth, TX 76137</v>
      </c>
      <c r="K97" s="3" t="str">
        <f>PROPER(TRIM(C97))</f>
        <v>Fort Worth</v>
      </c>
      <c r="L97" t="str">
        <f>UPPER(LEFT(TRIM(D97),2))</f>
        <v>TX</v>
      </c>
      <c r="M97" t="str">
        <f>IF(OR(UPPER(E97)="UNITED STATES",UPPER(E97)="UNITED STATES OF AMERICA",UPPER(E97)="US",UPPER(E97)="USA"),"USA",E97)</f>
        <v>USA</v>
      </c>
      <c r="N97" t="str" cm="1">
        <f t="array" ref="N97">_xlfn.REGEXEXTRACT(F97,"\d{5}")</f>
        <v>76137</v>
      </c>
    </row>
    <row r="98" spans="1:14" ht="48" x14ac:dyDescent="0.15">
      <c r="A98" s="2" t="s">
        <v>197</v>
      </c>
      <c r="B98" s="2" t="s">
        <v>198</v>
      </c>
      <c r="C98" s="2" t="s">
        <v>199</v>
      </c>
      <c r="D98" s="2" t="s">
        <v>20</v>
      </c>
      <c r="E98" s="2" t="s">
        <v>10</v>
      </c>
      <c r="F98" s="2" t="s">
        <v>200</v>
      </c>
      <c r="G98" s="2"/>
      <c r="H98" s="2"/>
      <c r="I98" s="2" t="str">
        <f>TRIM(CLEAN(SUBSTITUTE(A98,CHAR(10)," ")))</f>
        <v>7 eleven fort worth</v>
      </c>
      <c r="J98" s="2" t="str">
        <f>TRIM(CLEAN(SUBSTITUTE(B98,CHAR(10)," ")))</f>
        <v>5384 Mcpherson Blvd, fort Worth,</v>
      </c>
      <c r="K98" s="3" t="str">
        <f>PROPER(TRIM(C98))</f>
        <v>Fort Worth</v>
      </c>
      <c r="L98" t="str">
        <f>UPPER(LEFT(TRIM(D98),2))</f>
        <v>TX</v>
      </c>
      <c r="M98" t="str">
        <f>IF(OR(UPPER(E98)="UNITED STATES",UPPER(E98)="UNITED STATES OF AMERICA",UPPER(E98)="US",UPPER(E98)="USA"),"USA",E98)</f>
        <v>USA</v>
      </c>
      <c r="N98" t="str" cm="1">
        <f t="array" ref="N98">_xlfn.REGEXEXTRACT(F98,"\d{5}")</f>
        <v>76123</v>
      </c>
    </row>
    <row r="99" spans="1:14" ht="36" x14ac:dyDescent="0.15">
      <c r="A99" s="2" t="s">
        <v>232</v>
      </c>
      <c r="B99" s="2" t="s">
        <v>233</v>
      </c>
      <c r="C99" s="2" t="s">
        <v>199</v>
      </c>
      <c r="D99" s="2" t="s">
        <v>20</v>
      </c>
      <c r="E99" s="2" t="s">
        <v>10</v>
      </c>
      <c r="F99" s="2" t="s">
        <v>234</v>
      </c>
      <c r="G99" s="2"/>
      <c r="H99" s="2"/>
      <c r="I99" s="2" t="str">
        <f>TRIM(CLEAN(SUBSTITUTE(A99,CHAR(10)," ")))</f>
        <v>Amma Indian Grocery Store</v>
      </c>
      <c r="J99" s="2" t="str">
        <f>TRIM(CLEAN(SUBSTITUTE(B99,CHAR(10)," ")))</f>
        <v>5601 Basswood Blvd #149</v>
      </c>
      <c r="K99" s="3" t="str">
        <f>PROPER(TRIM(C99))</f>
        <v>Fort Worth</v>
      </c>
      <c r="L99" t="str">
        <f>UPPER(LEFT(TRIM(D99),2))</f>
        <v>TX</v>
      </c>
      <c r="M99" t="str">
        <f>IF(OR(UPPER(E99)="UNITED STATES",UPPER(E99)="UNITED STATES OF AMERICA",UPPER(E99)="US",UPPER(E99)="USA"),"USA",E99)</f>
        <v>USA</v>
      </c>
      <c r="N99" t="str" cm="1">
        <f t="array" ref="N99">_xlfn.REGEXEXTRACT(F99,"\d{5}")</f>
        <v>76137</v>
      </c>
    </row>
    <row r="100" spans="1:14" ht="48" x14ac:dyDescent="0.15">
      <c r="A100" s="2" t="s">
        <v>146</v>
      </c>
      <c r="B100" s="2" t="s">
        <v>147</v>
      </c>
      <c r="C100" s="2" t="s">
        <v>148</v>
      </c>
      <c r="D100" s="2" t="s">
        <v>102</v>
      </c>
      <c r="E100" s="2" t="s">
        <v>10</v>
      </c>
      <c r="F100" s="2" t="s">
        <v>149</v>
      </c>
      <c r="G100" s="2"/>
      <c r="H100" s="2"/>
      <c r="I100" s="2" t="str">
        <f>TRIM(CLEAN(SUBSTITUTE(A100,CHAR(10)," ")))</f>
        <v>Chalo India</v>
      </c>
      <c r="J100" s="2" t="str">
        <f>TRIM(CLEAN(SUBSTITUTE(B100,CHAR(10)," ")))</f>
        <v>11010 Panther Creek Parkway #1</v>
      </c>
      <c r="K100" s="3" t="str">
        <f>PROPER(TRIM(C100))</f>
        <v>Frisco</v>
      </c>
      <c r="L100" s="8" t="s">
        <v>20</v>
      </c>
      <c r="M100" t="str">
        <f>IF(OR(UPPER(E100)="UNITED STATES",UPPER(E100)="UNITED STATES OF AMERICA",UPPER(E100)="US",UPPER(E100)="USA"),"USA",E100)</f>
        <v>USA</v>
      </c>
      <c r="N100" t="str" cm="1">
        <f t="array" ref="N100">_xlfn.REGEXEXTRACT(F100,"\d{5}")</f>
        <v>75034</v>
      </c>
    </row>
    <row r="101" spans="1:14" ht="36" x14ac:dyDescent="0.15">
      <c r="A101" s="2" t="s">
        <v>348</v>
      </c>
      <c r="B101" s="2" t="s">
        <v>349</v>
      </c>
      <c r="C101" s="2" t="s">
        <v>148</v>
      </c>
      <c r="D101" s="2" t="s">
        <v>20</v>
      </c>
      <c r="E101" s="2" t="s">
        <v>10</v>
      </c>
      <c r="F101" s="2" t="s">
        <v>290</v>
      </c>
      <c r="G101" s="2"/>
      <c r="H101" s="2"/>
      <c r="I101" s="2" t="str">
        <f>TRIM(CLEAN(SUBSTITUTE(A101,CHAR(10)," ")))</f>
        <v>Desi District-Frisco</v>
      </c>
      <c r="J101" s="2" t="str">
        <f>TRIM(CLEAN(SUBSTITUTE(B101,CHAR(10)," ")))</f>
        <v>12990 Eldorado Pkwy #100</v>
      </c>
      <c r="K101" s="3" t="str">
        <f>PROPER(TRIM(C101))</f>
        <v>Frisco</v>
      </c>
      <c r="L101" t="str">
        <f>UPPER(LEFT(TRIM(D101),2))</f>
        <v>TX</v>
      </c>
      <c r="M101" t="str">
        <f>IF(OR(UPPER(E101)="UNITED STATES",UPPER(E101)="UNITED STATES OF AMERICA",UPPER(E101)="US",UPPER(E101)="USA"),"USA",E101)</f>
        <v>USA</v>
      </c>
      <c r="N101" t="str" cm="1">
        <f t="array" ref="N101">_xlfn.REGEXEXTRACT(F101,"\d{5}")</f>
        <v>75035</v>
      </c>
    </row>
    <row r="102" spans="1:14" ht="36" x14ac:dyDescent="0.15">
      <c r="A102" s="2" t="s">
        <v>334</v>
      </c>
      <c r="B102" s="2" t="s">
        <v>335</v>
      </c>
      <c r="C102" s="2" t="s">
        <v>148</v>
      </c>
      <c r="D102" s="2" t="s">
        <v>15</v>
      </c>
      <c r="E102" s="2" t="s">
        <v>10</v>
      </c>
      <c r="F102" s="2"/>
      <c r="G102" s="2"/>
      <c r="H102" s="2"/>
      <c r="I102" s="2" t="str">
        <f>TRIM(CLEAN(SUBSTITUTE(A102,CHAR(10)," ")))</f>
        <v>DESI CHOWRASTHA-Frisco 1</v>
      </c>
      <c r="J102" s="2" t="str">
        <f>TRIM(CLEAN(SUBSTITUTE(B102,CHAR(10)," ")))</f>
        <v>15851 Rolator Rd</v>
      </c>
      <c r="K102" s="3" t="str">
        <f>PROPER(TRIM(C102))</f>
        <v>Frisco</v>
      </c>
      <c r="L102" t="str">
        <f>UPPER(LEFT(TRIM(D102),2))</f>
        <v>TX</v>
      </c>
      <c r="M102" t="str">
        <f>IF(OR(UPPER(E102)="UNITED STATES",UPPER(E102)="UNITED STATES OF AMERICA",UPPER(E102)="US",UPPER(E102)="USA"),"USA",E102)</f>
        <v>USA</v>
      </c>
      <c r="N102" t="e" cm="1" vm="1">
        <f t="array" ref="N102">_xlfn.REGEXEXTRACT(F102,"\d{5}")</f>
        <v>#N/A</v>
      </c>
    </row>
    <row r="103" spans="1:14" ht="36" x14ac:dyDescent="0.15">
      <c r="A103" s="2" t="s">
        <v>336</v>
      </c>
      <c r="B103" s="2" t="s">
        <v>337</v>
      </c>
      <c r="C103" s="2" t="s">
        <v>148</v>
      </c>
      <c r="D103" s="2" t="s">
        <v>20</v>
      </c>
      <c r="E103" s="2" t="s">
        <v>10</v>
      </c>
      <c r="F103" s="2" t="s">
        <v>149</v>
      </c>
      <c r="G103" s="2"/>
      <c r="H103" s="2"/>
      <c r="I103" s="2" t="str">
        <f>TRIM(CLEAN(SUBSTITUTE(A103,CHAR(10)," ")))</f>
        <v>DESI CHOWRASTHA-Frisco 2</v>
      </c>
      <c r="J103" s="2" t="str">
        <f>TRIM(CLEAN(SUBSTITUTE(B103,CHAR(10)," ")))</f>
        <v>1971 FM 423</v>
      </c>
      <c r="K103" s="3" t="str">
        <f>PROPER(TRIM(C103))</f>
        <v>Frisco</v>
      </c>
      <c r="L103" t="str">
        <f>UPPER(LEFT(TRIM(D103),2))</f>
        <v>TX</v>
      </c>
      <c r="M103" t="str">
        <f>IF(OR(UPPER(E103)="UNITED STATES",UPPER(E103)="UNITED STATES OF AMERICA",UPPER(E103)="US",UPPER(E103)="USA"),"USA",E103)</f>
        <v>USA</v>
      </c>
      <c r="N103" t="str" cm="1">
        <f t="array" ref="N103">_xlfn.REGEXEXTRACT(F103,"\d{5}")</f>
        <v>75034</v>
      </c>
    </row>
    <row r="104" spans="1:14" ht="24" x14ac:dyDescent="0.15">
      <c r="A104" s="2" t="s">
        <v>264</v>
      </c>
      <c r="B104" s="2" t="s">
        <v>265</v>
      </c>
      <c r="C104" s="2" t="s">
        <v>148</v>
      </c>
      <c r="D104" s="2" t="s">
        <v>20</v>
      </c>
      <c r="E104" s="2" t="s">
        <v>10</v>
      </c>
      <c r="F104" s="2" t="s">
        <v>149</v>
      </c>
      <c r="G104" s="2"/>
      <c r="H104" s="2"/>
      <c r="I104" s="2" t="str">
        <f>TRIM(CLEAN(SUBSTITUTE(A104,CHAR(10)," ")))</f>
        <v>Authentic Turkish Food</v>
      </c>
      <c r="J104" s="2" t="str">
        <f>TRIM(CLEAN(SUBSTITUTE(B104,CHAR(10)," ")))</f>
        <v>2615 Preston Rd</v>
      </c>
      <c r="K104" s="3" t="str">
        <f>PROPER(TRIM(C104))</f>
        <v>Frisco</v>
      </c>
      <c r="L104" t="str">
        <f>UPPER(LEFT(TRIM(D104),2))</f>
        <v>TX</v>
      </c>
      <c r="M104" t="str">
        <f>IF(OR(UPPER(E104)="UNITED STATES",UPPER(E104)="UNITED STATES OF AMERICA",UPPER(E104)="US",UPPER(E104)="USA"),"USA",E104)</f>
        <v>USA</v>
      </c>
      <c r="N104" t="str" cm="1">
        <f t="array" ref="N104">_xlfn.REGEXEXTRACT(F104,"\d{5}")</f>
        <v>75034</v>
      </c>
    </row>
    <row r="105" spans="1:14" ht="24" x14ac:dyDescent="0.15">
      <c r="A105" s="2" t="s">
        <v>537</v>
      </c>
      <c r="B105" s="2" t="s">
        <v>538</v>
      </c>
      <c r="C105" s="2" t="s">
        <v>539</v>
      </c>
      <c r="D105" s="2" t="s">
        <v>15</v>
      </c>
      <c r="E105" s="2" t="s">
        <v>10</v>
      </c>
      <c r="F105" s="2" t="s">
        <v>290</v>
      </c>
      <c r="G105" s="2"/>
      <c r="H105" s="2"/>
      <c r="I105" s="2" t="str">
        <f>TRIM(CLEAN(SUBSTITUTE(A105,CHAR(10)," ")))</f>
        <v>Persia frisco</v>
      </c>
      <c r="J105" s="2" t="str">
        <f>TRIM(CLEAN(SUBSTITUTE(B105,CHAR(10)," ")))</f>
        <v>7447 hillcrest rd suite 104</v>
      </c>
      <c r="K105" s="3" t="str">
        <f>PROPER(TRIM(C105))</f>
        <v>Frisco</v>
      </c>
      <c r="L105" t="str">
        <f>UPPER(LEFT(TRIM(D105),2))</f>
        <v>TX</v>
      </c>
      <c r="M105" t="str">
        <f>IF(OR(UPPER(E105)="UNITED STATES",UPPER(E105)="UNITED STATES OF AMERICA",UPPER(E105)="US",UPPER(E105)="USA"),"USA",E105)</f>
        <v>USA</v>
      </c>
      <c r="N105" t="str" cm="1">
        <f t="array" ref="N105">_xlfn.REGEXEXTRACT(F105,"\d{5}")</f>
        <v>75035</v>
      </c>
    </row>
    <row r="106" spans="1:14" ht="36" x14ac:dyDescent="0.15">
      <c r="A106" s="2" t="s">
        <v>288</v>
      </c>
      <c r="B106" s="2" t="s">
        <v>289</v>
      </c>
      <c r="C106" s="2" t="s">
        <v>148</v>
      </c>
      <c r="D106" s="2" t="s">
        <v>20</v>
      </c>
      <c r="E106" s="2" t="s">
        <v>10</v>
      </c>
      <c r="F106" s="2" t="s">
        <v>290</v>
      </c>
      <c r="G106" s="2"/>
      <c r="H106" s="2"/>
      <c r="I106" s="2" t="str">
        <f>TRIM(CLEAN(SUBSTITUTE(A106,CHAR(10)," ")))</f>
        <v>BOOMBOLT INC</v>
      </c>
      <c r="J106" s="2" t="str">
        <f>TRIM(CLEAN(SUBSTITUTE(B106,CHAR(10)," ")))</f>
        <v>9400 wade Boulevard #2012</v>
      </c>
      <c r="K106" s="3" t="str">
        <f>PROPER(TRIM(C106))</f>
        <v>Frisco</v>
      </c>
      <c r="L106" t="str">
        <f>UPPER(LEFT(TRIM(D106),2))</f>
        <v>TX</v>
      </c>
      <c r="M106" t="str">
        <f>IF(OR(UPPER(E106)="UNITED STATES",UPPER(E106)="UNITED STATES OF AMERICA",UPPER(E106)="US",UPPER(E106)="USA"),"USA",E106)</f>
        <v>USA</v>
      </c>
      <c r="N106" t="str" cm="1">
        <f t="array" ref="N106">_xlfn.REGEXEXTRACT(F106,"\d{5}")</f>
        <v>75035</v>
      </c>
    </row>
    <row r="107" spans="1:14" ht="24" x14ac:dyDescent="0.15">
      <c r="A107" s="2" t="s">
        <v>1017</v>
      </c>
      <c r="B107" s="2" t="s">
        <v>1018</v>
      </c>
      <c r="C107" s="2" t="s">
        <v>1019</v>
      </c>
      <c r="D107" s="2" t="s">
        <v>20</v>
      </c>
      <c r="E107" s="2" t="s">
        <v>10</v>
      </c>
      <c r="F107" s="2" t="s">
        <v>1020</v>
      </c>
      <c r="G107" s="2"/>
      <c r="H107" s="2"/>
      <c r="I107" s="2" t="str">
        <f>TRIM(CLEAN(SUBSTITUTE(A107,CHAR(10)," ")))</f>
        <v>MEZZÉ#1 Fulsher</v>
      </c>
      <c r="J107" s="2" t="str">
        <f>TRIM(CLEAN(SUBSTITUTE(B107,CHAR(10)," ")))</f>
        <v>28432 FM 1093 STE G</v>
      </c>
      <c r="K107" s="3" t="str">
        <f>PROPER(TRIM(C107))</f>
        <v>Fulsher</v>
      </c>
      <c r="L107" t="str">
        <f>UPPER(LEFT(TRIM(D107),2))</f>
        <v>TX</v>
      </c>
      <c r="M107" t="str">
        <f>IF(OR(UPPER(E107)="UNITED STATES",UPPER(E107)="UNITED STATES OF AMERICA",UPPER(E107)="US",UPPER(E107)="USA"),"USA",E107)</f>
        <v>USA</v>
      </c>
      <c r="N107" t="str" cm="1">
        <f t="array" ref="N107">_xlfn.REGEXEXTRACT(F107,"\d{5}")</f>
        <v>77441</v>
      </c>
    </row>
    <row r="108" spans="1:14" ht="36" x14ac:dyDescent="0.15">
      <c r="A108" s="2" t="s">
        <v>529</v>
      </c>
      <c r="B108" s="2" t="s">
        <v>530</v>
      </c>
      <c r="C108" s="2" t="s">
        <v>237</v>
      </c>
      <c r="D108" s="2" t="s">
        <v>20</v>
      </c>
      <c r="E108" s="2" t="s">
        <v>10</v>
      </c>
      <c r="F108" s="2" t="s">
        <v>531</v>
      </c>
      <c r="G108" s="2"/>
      <c r="H108" s="2"/>
      <c r="I108" s="2" t="str">
        <f>TRIM(CLEAN(SUBSTITUTE(A108,CHAR(10)," ")))</f>
        <v>Noor-sha Cafe and Catering</v>
      </c>
      <c r="J108" s="2" t="str">
        <f>TRIM(CLEAN(SUBSTITUTE(B108,CHAR(10)," ")))</f>
        <v>1117 South Jupiter rd, Garland</v>
      </c>
      <c r="K108" s="3" t="str">
        <f>PROPER(TRIM(C108))</f>
        <v>Garland</v>
      </c>
      <c r="L108" t="str">
        <f>UPPER(LEFT(TRIM(D108),2))</f>
        <v>TX</v>
      </c>
      <c r="M108" t="str">
        <f>IF(OR(UPPER(E108)="UNITED STATES",UPPER(E108)="UNITED STATES OF AMERICA",UPPER(E108)="US",UPPER(E108)="USA"),"USA",E108)</f>
        <v>USA</v>
      </c>
      <c r="N108" t="str" cm="1">
        <f t="array" ref="N108">_xlfn.REGEXEXTRACT(F108,"\d{5}")</f>
        <v>75042</v>
      </c>
    </row>
    <row r="109" spans="1:14" ht="48" x14ac:dyDescent="0.15">
      <c r="A109" s="2" t="s">
        <v>639</v>
      </c>
      <c r="B109" s="2" t="s">
        <v>640</v>
      </c>
      <c r="C109" s="2" t="s">
        <v>237</v>
      </c>
      <c r="D109" s="2" t="s">
        <v>20</v>
      </c>
      <c r="E109" s="2" t="s">
        <v>10</v>
      </c>
      <c r="F109" s="2" t="s">
        <v>284</v>
      </c>
      <c r="G109" s="2"/>
      <c r="H109" s="2"/>
      <c r="I109" s="2" t="str">
        <f>TRIM(CLEAN(SUBSTITUTE(A109,CHAR(10)," ")))</f>
        <v>Umart</v>
      </c>
      <c r="J109" s="2" t="str">
        <f>TRIM(CLEAN(SUBSTITUTE(B109,CHAR(10)," ")))</f>
        <v>1805 W Campbell Rd, Garland, TX 75044</v>
      </c>
      <c r="K109" s="3" t="str">
        <f>PROPER(TRIM(C109))</f>
        <v>Garland</v>
      </c>
      <c r="L109" t="str">
        <f>UPPER(LEFT(TRIM(D109),2))</f>
        <v>TX</v>
      </c>
      <c r="M109" t="str">
        <f>IF(OR(UPPER(E109)="UNITED STATES",UPPER(E109)="UNITED STATES OF AMERICA",UPPER(E109)="US",UPPER(E109)="USA"),"USA",E109)</f>
        <v>USA</v>
      </c>
      <c r="N109" t="str" cm="1">
        <f t="array" ref="N109">_xlfn.REGEXEXTRACT(F109,"\d{5}")</f>
        <v>75044</v>
      </c>
    </row>
    <row r="110" spans="1:14" ht="36" x14ac:dyDescent="0.15">
      <c r="A110" s="2" t="s">
        <v>700</v>
      </c>
      <c r="B110" s="2" t="s">
        <v>701</v>
      </c>
      <c r="C110" s="2" t="s">
        <v>237</v>
      </c>
      <c r="D110" s="2" t="s">
        <v>102</v>
      </c>
      <c r="E110" s="2" t="s">
        <v>10</v>
      </c>
      <c r="F110" s="2" t="s">
        <v>284</v>
      </c>
      <c r="G110" s="2"/>
      <c r="H110" s="2"/>
      <c r="I110" s="2" t="str">
        <f>TRIM(CLEAN(SUBSTITUTE(A110,CHAR(10)," ")))</f>
        <v>Garland Indopak Inc.</v>
      </c>
      <c r="J110" s="2" t="str">
        <f>TRIM(CLEAN(SUBSTITUTE(B110,CHAR(10)," ")))</f>
        <v>1805 W. Campbell Rd. #105</v>
      </c>
      <c r="K110" s="3" t="str">
        <f>PROPER(TRIM(C110))</f>
        <v>Garland</v>
      </c>
      <c r="L110" s="8" t="s">
        <v>20</v>
      </c>
      <c r="M110" t="str">
        <f>IF(OR(UPPER(E110)="UNITED STATES",UPPER(E110)="UNITED STATES OF AMERICA",UPPER(E110)="US",UPPER(E110)="USA"),"USA",E110)</f>
        <v>USA</v>
      </c>
      <c r="N110" t="str" cm="1">
        <f t="array" ref="N110">_xlfn.REGEXEXTRACT(F110,"\d{5}")</f>
        <v>75044</v>
      </c>
    </row>
    <row r="111" spans="1:14" ht="36" x14ac:dyDescent="0.15">
      <c r="A111" s="2" t="s">
        <v>282</v>
      </c>
      <c r="B111" s="2" t="s">
        <v>283</v>
      </c>
      <c r="C111" s="2" t="s">
        <v>237</v>
      </c>
      <c r="D111" s="2" t="s">
        <v>20</v>
      </c>
      <c r="E111" s="2" t="s">
        <v>10</v>
      </c>
      <c r="F111" s="2" t="s">
        <v>284</v>
      </c>
      <c r="G111" s="2"/>
      <c r="H111" s="2"/>
      <c r="I111" s="2" t="str">
        <f>TRIM(CLEAN(SUBSTITUTE(A111,CHAR(10)," ")))</f>
        <v>Bloom Cafe Garland</v>
      </c>
      <c r="J111" s="2" t="str">
        <f>TRIM(CLEAN(SUBSTITUTE(B111,CHAR(10)," ")))</f>
        <v>1815 W Campbell R #3</v>
      </c>
      <c r="K111" s="3" t="str">
        <f>PROPER(TRIM(C111))</f>
        <v>Garland</v>
      </c>
      <c r="L111" t="str">
        <f>UPPER(LEFT(TRIM(D111),2))</f>
        <v>TX</v>
      </c>
      <c r="M111" t="str">
        <f>IF(OR(UPPER(E111)="UNITED STATES",UPPER(E111)="UNITED STATES OF AMERICA",UPPER(E111)="US",UPPER(E111)="USA"),"USA",E111)</f>
        <v>USA</v>
      </c>
      <c r="N111" t="str" cm="1">
        <f t="array" ref="N111">_xlfn.REGEXEXTRACT(F111,"\d{5}")</f>
        <v>75044</v>
      </c>
    </row>
    <row r="112" spans="1:14" ht="36" x14ac:dyDescent="0.15">
      <c r="A112" s="2" t="s">
        <v>390</v>
      </c>
      <c r="B112" s="2" t="s">
        <v>391</v>
      </c>
      <c r="C112" s="2" t="s">
        <v>237</v>
      </c>
      <c r="D112" s="2" t="s">
        <v>20</v>
      </c>
      <c r="E112" s="2" t="s">
        <v>10</v>
      </c>
      <c r="F112" s="2" t="s">
        <v>284</v>
      </c>
      <c r="G112" s="2"/>
      <c r="H112" s="2"/>
      <c r="I112" s="2" t="str">
        <f>TRIM(CLEAN(SUBSTITUTE(A112,CHAR(10)," ")))</f>
        <v>FIRIN BAKERY</v>
      </c>
      <c r="J112" s="2" t="str">
        <f>TRIM(CLEAN(SUBSTITUTE(B112,CHAR(10)," ")))</f>
        <v>1815 W Campbell Rd Suite #6</v>
      </c>
      <c r="K112" s="3" t="str">
        <f>PROPER(TRIM(C112))</f>
        <v>Garland</v>
      </c>
      <c r="L112" t="str">
        <f>UPPER(LEFT(TRIM(D112),2))</f>
        <v>TX</v>
      </c>
      <c r="M112" t="str">
        <f>IF(OR(UPPER(E112)="UNITED STATES",UPPER(E112)="UNITED STATES OF AMERICA",UPPER(E112)="US",UPPER(E112)="USA"),"USA",E112)</f>
        <v>USA</v>
      </c>
      <c r="N112" t="str" cm="1">
        <f t="array" ref="N112">_xlfn.REGEXEXTRACT(F112,"\d{5}")</f>
        <v>75044</v>
      </c>
    </row>
    <row r="113" spans="1:14" ht="24" x14ac:dyDescent="0.15">
      <c r="A113" s="2" t="s">
        <v>235</v>
      </c>
      <c r="B113" s="2" t="s">
        <v>236</v>
      </c>
      <c r="C113" s="2" t="s">
        <v>237</v>
      </c>
      <c r="D113" s="2" t="s">
        <v>20</v>
      </c>
      <c r="E113" s="2" t="s">
        <v>10</v>
      </c>
      <c r="F113" s="2" t="s">
        <v>238</v>
      </c>
      <c r="G113" s="2"/>
      <c r="H113" s="2"/>
      <c r="I113" s="2" t="str">
        <f>TRIM(CLEAN(SUBSTITUTE(A113,CHAR(10)," ")))</f>
        <v>Amora Cafe</v>
      </c>
      <c r="J113" s="2" t="str">
        <f>TRIM(CLEAN(SUBSTITUTE(B113,CHAR(10)," ")))</f>
        <v>635 Town Square Rd</v>
      </c>
      <c r="K113" s="3" t="str">
        <f>PROPER(TRIM(C113))</f>
        <v>Garland</v>
      </c>
      <c r="L113" t="str">
        <f>UPPER(LEFT(TRIM(D113),2))</f>
        <v>TX</v>
      </c>
      <c r="M113" t="str">
        <f>IF(OR(UPPER(E113)="UNITED STATES",UPPER(E113)="UNITED STATES OF AMERICA",UPPER(E113)="US",UPPER(E113)="USA"),"USA",E113)</f>
        <v>USA</v>
      </c>
      <c r="N113" t="str" cm="1">
        <f t="array" ref="N113">_xlfn.REGEXEXTRACT(F113,"\d{5}")</f>
        <v>77498</v>
      </c>
    </row>
    <row r="114" spans="1:14" ht="24" x14ac:dyDescent="0.15">
      <c r="A114" s="2" t="s">
        <v>680</v>
      </c>
      <c r="B114" s="2" t="s">
        <v>681</v>
      </c>
      <c r="C114" s="2" t="s">
        <v>682</v>
      </c>
      <c r="D114" s="2" t="s">
        <v>15</v>
      </c>
      <c r="E114" s="2" t="s">
        <v>10</v>
      </c>
      <c r="F114" s="2" t="s">
        <v>683</v>
      </c>
      <c r="G114" s="2"/>
      <c r="H114" s="2"/>
      <c r="I114" s="2" t="str">
        <f>TRIM(CLEAN(SUBSTITUTE(A114,CHAR(10)," ")))</f>
        <v>Ferah kitchen</v>
      </c>
      <c r="J114" s="2" t="str">
        <f>TRIM(CLEAN(SUBSTITUTE(B114,CHAR(10)," ")))</f>
        <v>690 beebalm Ln</v>
      </c>
      <c r="K114" s="3" t="str">
        <f>PROPER(TRIM(C114))</f>
        <v>Garland</v>
      </c>
      <c r="L114" t="str">
        <f>UPPER(LEFT(TRIM(D114),2))</f>
        <v>TX</v>
      </c>
      <c r="M114" t="str">
        <f>IF(OR(UPPER(E114)="UNITED STATES",UPPER(E114)="UNITED STATES OF AMERICA",UPPER(E114)="US",UPPER(E114)="USA"),"USA",E114)</f>
        <v>USA</v>
      </c>
      <c r="N114" t="str" cm="1">
        <f t="array" ref="N114">_xlfn.REGEXEXTRACT(F114,"\d{5}")</f>
        <v>75040</v>
      </c>
    </row>
    <row r="115" spans="1:14" ht="36" x14ac:dyDescent="0.15">
      <c r="A115" s="2" t="s">
        <v>567</v>
      </c>
      <c r="B115" s="2" t="s">
        <v>568</v>
      </c>
      <c r="C115" s="2" t="s">
        <v>237</v>
      </c>
      <c r="D115" s="2" t="s">
        <v>20</v>
      </c>
      <c r="E115" s="2" t="s">
        <v>10</v>
      </c>
      <c r="F115" s="2" t="s">
        <v>569</v>
      </c>
      <c r="G115" s="2"/>
      <c r="H115" s="2"/>
      <c r="I115" s="2" t="str">
        <f>TRIM(CLEAN(SUBSTITUTE(A115,CHAR(10)," ")))</f>
        <v>Royals International Foods Market</v>
      </c>
      <c r="J115" s="2" t="str">
        <f>TRIM(CLEAN(SUBSTITUTE(B115,CHAR(10)," ")))</f>
        <v>901 Belt Line Rd</v>
      </c>
      <c r="K115" s="3" t="str">
        <f>PROPER(TRIM(C115))</f>
        <v>Garland</v>
      </c>
      <c r="L115" t="str">
        <f>UPPER(LEFT(TRIM(D115),2))</f>
        <v>TX</v>
      </c>
      <c r="M115" t="str">
        <f>IF(OR(UPPER(E115)="UNITED STATES",UPPER(E115)="UNITED STATES OF AMERICA",UPPER(E115)="US",UPPER(E115)="USA"),"USA",E115)</f>
        <v>USA</v>
      </c>
      <c r="N115" t="e" cm="1" vm="1">
        <f t="array" ref="N115">_xlfn.REGEXEXTRACT(F115,"\d{5}")</f>
        <v>#N/A</v>
      </c>
    </row>
    <row r="116" spans="1:14" ht="60" x14ac:dyDescent="0.15">
      <c r="A116" s="2" t="s">
        <v>165</v>
      </c>
      <c r="B116" s="2" t="s">
        <v>166</v>
      </c>
      <c r="C116" s="2" t="s">
        <v>167</v>
      </c>
      <c r="D116" s="2" t="s">
        <v>20</v>
      </c>
      <c r="E116" s="2" t="s">
        <v>10</v>
      </c>
      <c r="F116" s="2" t="s">
        <v>168</v>
      </c>
      <c r="G116" s="2"/>
      <c r="H116" s="2"/>
      <c r="I116" s="2" t="str">
        <f>TRIM(CLEAN(SUBSTITUTE(A116,CHAR(10)," ")))</f>
        <v>Coast To Coast Distribution (GAMA WHOLESLE)</v>
      </c>
      <c r="J116" s="2" t="str">
        <f>TRIM(CLEAN(SUBSTITUTE(B116,CHAR(10)," ")))</f>
        <v>1805 Aviation Dr</v>
      </c>
      <c r="K116" s="3" t="str">
        <f>PROPER(TRIM(C116))</f>
        <v>Georgetown</v>
      </c>
      <c r="L116" t="str">
        <f>UPPER(LEFT(TRIM(D116),2))</f>
        <v>TX</v>
      </c>
      <c r="M116" t="str">
        <f>IF(OR(UPPER(E116)="UNITED STATES",UPPER(E116)="UNITED STATES OF AMERICA",UPPER(E116)="US",UPPER(E116)="USA"),"USA",E116)</f>
        <v>USA</v>
      </c>
      <c r="N116" t="str" cm="1">
        <f t="array" ref="N116">_xlfn.REGEXEXTRACT(F116,"\d{5}")</f>
        <v>78628</v>
      </c>
    </row>
    <row r="117" spans="1:14" ht="60" x14ac:dyDescent="0.15">
      <c r="A117" s="2" t="s">
        <v>574</v>
      </c>
      <c r="B117" s="2" t="s">
        <v>575</v>
      </c>
      <c r="C117" s="2" t="s">
        <v>576</v>
      </c>
      <c r="D117" s="2" t="s">
        <v>20</v>
      </c>
      <c r="E117" s="2" t="s">
        <v>10</v>
      </c>
      <c r="F117" s="2" t="s">
        <v>577</v>
      </c>
      <c r="G117" s="2"/>
      <c r="H117" s="2"/>
      <c r="I117" s="2" t="str">
        <f>TRIM(CLEAN(SUBSTITUTE(A117,CHAR(10)," ")))</f>
        <v>SAFARI MEDITERRANEAN MARKET - Grand Prairie</v>
      </c>
      <c r="J117" s="2" t="str">
        <f>TRIM(CLEAN(SUBSTITUTE(B117,CHAR(10)," ")))</f>
        <v>7501 LAKE RIDGE PKWY</v>
      </c>
      <c r="K117" s="3" t="str">
        <f>PROPER(TRIM(C117))</f>
        <v>Grand Prairie</v>
      </c>
      <c r="L117" t="str">
        <f>UPPER(LEFT(TRIM(D117),2))</f>
        <v>TX</v>
      </c>
      <c r="M117" t="str">
        <f>IF(OR(UPPER(E117)="UNITED STATES",UPPER(E117)="UNITED STATES OF AMERICA",UPPER(E117)="US",UPPER(E117)="USA"),"USA",E117)</f>
        <v>USA</v>
      </c>
      <c r="N117" t="str" cm="1">
        <f t="array" ref="N117">_xlfn.REGEXEXTRACT(F117,"\d{5}")</f>
        <v>75054</v>
      </c>
    </row>
    <row r="118" spans="1:14" ht="24" x14ac:dyDescent="0.15">
      <c r="A118" s="2" t="s">
        <v>647</v>
      </c>
      <c r="B118" s="2" t="s">
        <v>648</v>
      </c>
      <c r="C118" s="2" t="s">
        <v>649</v>
      </c>
      <c r="D118" s="2" t="s">
        <v>15</v>
      </c>
      <c r="E118" s="2" t="s">
        <v>10</v>
      </c>
      <c r="F118" s="2"/>
      <c r="G118" s="2"/>
      <c r="H118" s="2"/>
      <c r="I118" s="2" t="str">
        <f>TRIM(CLEAN(SUBSTITUTE(A118,CHAR(10)," ")))</f>
        <v>Yaas pizza and wings</v>
      </c>
      <c r="J118" s="2" t="str">
        <f>TRIM(CLEAN(SUBSTITUTE(B118,CHAR(10)," ")))</f>
        <v>906 w pioneer pkwy</v>
      </c>
      <c r="K118" s="3" t="str">
        <f>PROPER(TRIM(C118))</f>
        <v>Grand Prairie</v>
      </c>
      <c r="L118" t="str">
        <f>UPPER(LEFT(TRIM(D118),2))</f>
        <v>TX</v>
      </c>
      <c r="M118" t="str">
        <f>IF(OR(UPPER(E118)="UNITED STATES",UPPER(E118)="UNITED STATES OF AMERICA",UPPER(E118)="US",UPPER(E118)="USA"),"USA",E118)</f>
        <v>USA</v>
      </c>
      <c r="N118" t="e" cm="1" vm="1">
        <f t="array" ref="N118">_xlfn.REGEXEXTRACT(F118,"\d{5}")</f>
        <v>#N/A</v>
      </c>
    </row>
    <row r="119" spans="1:14" ht="36" x14ac:dyDescent="0.15">
      <c r="A119" s="2" t="s">
        <v>594</v>
      </c>
      <c r="B119" s="2" t="s">
        <v>595</v>
      </c>
      <c r="C119" s="2" t="s">
        <v>596</v>
      </c>
      <c r="D119" s="2" t="s">
        <v>20</v>
      </c>
      <c r="E119" s="2" t="s">
        <v>10</v>
      </c>
      <c r="F119" s="2" t="s">
        <v>597</v>
      </c>
      <c r="G119" s="2"/>
      <c r="H119" s="2"/>
      <c r="I119" s="2" t="str">
        <f>TRIM(CLEAN(SUBSTITUTE(A119,CHAR(10)," ")))</f>
        <v>Shener's Family LLC</v>
      </c>
      <c r="J119" s="2" t="str">
        <f>TRIM(CLEAN(SUBSTITUTE(B119,CHAR(10)," ")))</f>
        <v>820 E DOVE LOOP RD APT 1</v>
      </c>
      <c r="K119" s="3" t="str">
        <f>PROPER(TRIM(C119))</f>
        <v>Grapevine</v>
      </c>
      <c r="L119" t="str">
        <f>UPPER(LEFT(TRIM(D119),2))</f>
        <v>TX</v>
      </c>
      <c r="M119" t="str">
        <f>IF(OR(UPPER(E119)="UNITED STATES",UPPER(E119)="UNITED STATES OF AMERICA",UPPER(E119)="US",UPPER(E119)="USA"),"USA",E119)</f>
        <v>USA</v>
      </c>
      <c r="N119" t="str" cm="1">
        <f t="array" ref="N119">_xlfn.REGEXEXTRACT(F119,"\d{5}")</f>
        <v>76051</v>
      </c>
    </row>
    <row r="120" spans="1:14" ht="36" x14ac:dyDescent="0.15">
      <c r="A120" s="2" t="s">
        <v>1343</v>
      </c>
      <c r="B120" s="2" t="s">
        <v>1344</v>
      </c>
      <c r="C120" s="2" t="s">
        <v>1345</v>
      </c>
      <c r="D120" s="2" t="s">
        <v>1346</v>
      </c>
      <c r="E120" s="2" t="s">
        <v>10</v>
      </c>
      <c r="F120" s="2" t="s">
        <v>1347</v>
      </c>
      <c r="G120" s="2"/>
      <c r="H120" s="2"/>
      <c r="I120" s="2" t="str">
        <f>TRIM(CLEAN(SUBSTITUTE(A120,CHAR(10)," ")))</f>
        <v>Sevinc Retail LLC</v>
      </c>
      <c r="J120" s="2" t="str">
        <f>TRIM(CLEAN(SUBSTITUTE(B120,CHAR(10)," ")))</f>
        <v>700 Wooddale Terrace No 18</v>
      </c>
      <c r="K120" s="3" t="str">
        <f>PROPER(TRIM(C120))</f>
        <v>Greenwood</v>
      </c>
      <c r="L120" t="str">
        <f>UPPER(LEFT(TRIM(D120),2))</f>
        <v>IN</v>
      </c>
      <c r="M120" t="str">
        <f>IF(OR(UPPER(E120)="UNITED STATES",UPPER(E120)="UNITED STATES OF AMERICA",UPPER(E120)="US",UPPER(E120)="USA"),"USA",E120)</f>
        <v>USA</v>
      </c>
      <c r="N120" t="str" cm="1">
        <f t="array" ref="N120">_xlfn.REGEXEXTRACT(F120,"\d{5}")</f>
        <v>46142</v>
      </c>
    </row>
    <row r="121" spans="1:14" ht="24" x14ac:dyDescent="0.15">
      <c r="A121" s="2" t="s">
        <v>179</v>
      </c>
      <c r="B121" s="2" t="s">
        <v>180</v>
      </c>
      <c r="C121" s="2" t="s">
        <v>181</v>
      </c>
      <c r="D121" s="2" t="s">
        <v>182</v>
      </c>
      <c r="E121" s="2" t="s">
        <v>10</v>
      </c>
      <c r="F121" s="2" t="s">
        <v>183</v>
      </c>
      <c r="G121" s="2"/>
      <c r="H121" s="2"/>
      <c r="I121" s="2" t="str">
        <f>TRIM(CLEAN(SUBSTITUTE(A121,CHAR(10)," ")))</f>
        <v>Crescent market</v>
      </c>
      <c r="J121" s="2" t="str">
        <f>TRIM(CLEAN(SUBSTITUTE(B121,CHAR(10)," ")))</f>
        <v>401 realty dr gretna la</v>
      </c>
      <c r="K121" s="3" t="str">
        <f>PROPER(TRIM(C121))</f>
        <v>Gretna</v>
      </c>
      <c r="L121" t="str">
        <f>UPPER(LEFT(TRIM(D121),2))</f>
        <v>LO</v>
      </c>
      <c r="M121" t="str">
        <f>IF(OR(UPPER(E121)="UNITED STATES",UPPER(E121)="UNITED STATES OF AMERICA",UPPER(E121)="US",UPPER(E121)="USA"),"USA",E121)</f>
        <v>USA</v>
      </c>
      <c r="N121" t="str" cm="1">
        <f t="array" ref="N121">_xlfn.REGEXEXTRACT(F121,"\d{5}")</f>
        <v>70056</v>
      </c>
    </row>
    <row r="122" spans="1:14" ht="36" x14ac:dyDescent="0.15">
      <c r="A122" s="2" t="s">
        <v>500</v>
      </c>
      <c r="B122" s="2" t="s">
        <v>501</v>
      </c>
      <c r="C122" s="2" t="s">
        <v>502</v>
      </c>
      <c r="D122" s="2" t="s">
        <v>268</v>
      </c>
      <c r="E122" s="2" t="s">
        <v>10</v>
      </c>
      <c r="F122" s="2" t="s">
        <v>503</v>
      </c>
      <c r="G122" s="2"/>
      <c r="H122" s="2"/>
      <c r="I122" s="2" t="str">
        <f>TRIM(CLEAN(SUBSTITUTE(A122,CHAR(10)," ")))</f>
        <v>LAMA WHOLESALE</v>
      </c>
      <c r="J122" s="2" t="str">
        <f>TRIM(CLEAN(SUBSTITUTE(B122,CHAR(10)," ")))</f>
        <v>4913 AIRPORT FREEWAY</v>
      </c>
      <c r="K122" s="3" t="str">
        <f>PROPER(TRIM(C122))</f>
        <v>Haltom City</v>
      </c>
      <c r="L122" t="str">
        <f>UPPER(LEFT(TRIM(D122),2))</f>
        <v>TE</v>
      </c>
      <c r="M122" t="str">
        <f>IF(OR(UPPER(E122)="UNITED STATES",UPPER(E122)="UNITED STATES OF AMERICA",UPPER(E122)="US",UPPER(E122)="USA"),"USA",E122)</f>
        <v>USA</v>
      </c>
      <c r="N122" t="str" cm="1">
        <f t="array" ref="N122">_xlfn.REGEXEXTRACT(F122,"\d{5}")</f>
        <v>76117</v>
      </c>
    </row>
    <row r="123" spans="1:14" ht="36" x14ac:dyDescent="0.15">
      <c r="A123" s="2" t="s">
        <v>1208</v>
      </c>
      <c r="B123" s="2" t="s">
        <v>1209</v>
      </c>
      <c r="C123" s="2" t="s">
        <v>1210</v>
      </c>
      <c r="D123" s="2" t="s">
        <v>20</v>
      </c>
      <c r="E123" s="2" t="s">
        <v>10</v>
      </c>
      <c r="F123" s="2" t="s">
        <v>1211</v>
      </c>
      <c r="G123" s="2"/>
      <c r="H123" s="2"/>
      <c r="I123" s="2" t="str">
        <f>TRIM(CLEAN(SUBSTITUTE(A123,CHAR(10)," ")))</f>
        <v>NEW SUN RACING</v>
      </c>
      <c r="J123" s="2" t="str">
        <f>TRIM(CLEAN(SUBSTITUTE(B123,CHAR(10)," ")))</f>
        <v>2000S expressway 83 ste E07</v>
      </c>
      <c r="K123" s="3" t="str">
        <f>PROPER(TRIM(C123))</f>
        <v>Harlingen</v>
      </c>
      <c r="L123" t="str">
        <f>UPPER(LEFT(TRIM(D123),2))</f>
        <v>TX</v>
      </c>
      <c r="M123" t="str">
        <f>IF(OR(UPPER(E123)="UNITED STATES",UPPER(E123)="UNITED STATES OF AMERICA",UPPER(E123)="US",UPPER(E123)="USA"),"USA",E123)</f>
        <v>USA</v>
      </c>
      <c r="N123" t="str" cm="1">
        <f t="array" ref="N123">_xlfn.REGEXEXTRACT(F123,"\d{5}")</f>
        <v>78570</v>
      </c>
    </row>
    <row r="124" spans="1:14" ht="24" x14ac:dyDescent="0.15">
      <c r="A124" s="2" t="s">
        <v>1143</v>
      </c>
      <c r="B124" s="2" t="s">
        <v>1144</v>
      </c>
      <c r="C124" s="2" t="s">
        <v>1145</v>
      </c>
      <c r="D124" s="2" t="s">
        <v>58</v>
      </c>
      <c r="E124" s="2" t="s">
        <v>10</v>
      </c>
      <c r="F124" s="2" t="s">
        <v>1146</v>
      </c>
      <c r="G124" s="2"/>
      <c r="H124" s="2"/>
      <c r="I124" s="2" t="str">
        <f>TRIM(CLEAN(SUBSTITUTE(A124,CHAR(10)," ")))</f>
        <v>Al Nour Super Market</v>
      </c>
      <c r="J124" s="2" t="str">
        <f>TRIM(CLEAN(SUBSTITUTE(B124,CHAR(10)," ")))</f>
        <v>1525 Lapalco Blvd</v>
      </c>
      <c r="K124" s="3" t="str">
        <f>PROPER(TRIM(C124))</f>
        <v>Harvey</v>
      </c>
      <c r="L124" t="str">
        <f>UPPER(LEFT(TRIM(D124),2))</f>
        <v>LA</v>
      </c>
      <c r="M124" t="str">
        <f>IF(OR(UPPER(E124)="UNITED STATES",UPPER(E124)="UNITED STATES OF AMERICA",UPPER(E124)="US",UPPER(E124)="USA"),"USA",E124)</f>
        <v>USA</v>
      </c>
      <c r="N124" t="str" cm="1">
        <f t="array" ref="N124">_xlfn.REGEXEXTRACT(F124,"\d{5}")</f>
        <v>70058</v>
      </c>
    </row>
    <row r="125" spans="1:14" ht="24" x14ac:dyDescent="0.15">
      <c r="A125" s="2" t="s">
        <v>136</v>
      </c>
      <c r="B125" s="2" t="s">
        <v>137</v>
      </c>
      <c r="C125" s="2" t="s">
        <v>138</v>
      </c>
      <c r="D125" s="2" t="s">
        <v>139</v>
      </c>
      <c r="E125" s="2" t="s">
        <v>10</v>
      </c>
      <c r="F125" s="2" t="s">
        <v>140</v>
      </c>
      <c r="G125" s="2"/>
      <c r="H125" s="2"/>
      <c r="I125" s="2" t="str">
        <f>TRIM(CLEAN(SUBSTITUTE(A125,CHAR(10)," ")))</f>
        <v>Capital Sales Company</v>
      </c>
      <c r="J125" s="2" t="str">
        <f>TRIM(CLEAN(SUBSTITUTE(B125,CHAR(10)," ")))</f>
        <v>1471 E. Nine Mile Rd</v>
      </c>
      <c r="K125" s="3" t="str">
        <f>PROPER(TRIM(C125))</f>
        <v>Hazel Park</v>
      </c>
      <c r="L125" t="str">
        <f>UPPER(LEFT(TRIM(D125),2))</f>
        <v>MI</v>
      </c>
      <c r="M125" t="str">
        <f>IF(OR(UPPER(E125)="UNITED STATES",UPPER(E125)="UNITED STATES OF AMERICA",UPPER(E125)="US",UPPER(E125)="USA"),"USA",E125)</f>
        <v>USA</v>
      </c>
      <c r="N125" t="str" cm="1">
        <f t="array" ref="N125">_xlfn.REGEXEXTRACT(F125,"\d{5}")</f>
        <v>48030</v>
      </c>
    </row>
    <row r="126" spans="1:14" ht="36" x14ac:dyDescent="0.15">
      <c r="A126" s="2" t="s">
        <v>1298</v>
      </c>
      <c r="B126" s="2" t="s">
        <v>1299</v>
      </c>
      <c r="C126" s="2" t="s">
        <v>1300</v>
      </c>
      <c r="D126" s="2" t="s">
        <v>20</v>
      </c>
      <c r="E126" s="2" t="s">
        <v>10</v>
      </c>
      <c r="F126" s="2" t="s">
        <v>1301</v>
      </c>
      <c r="G126" s="2"/>
      <c r="H126" s="2"/>
      <c r="I126" s="2" t="str">
        <f>TRIM(CLEAN(SUBSTITUTE(A126,CHAR(10)," ")))</f>
        <v>Tulip Grill &amp; Bakery LLC</v>
      </c>
      <c r="J126" s="2" t="str">
        <f>TRIM(CLEAN(SUBSTITUTE(B126,CHAR(10)," ")))</f>
        <v>11851 bandera rd suit#123</v>
      </c>
      <c r="K126" s="3" t="str">
        <f>PROPER(TRIM(C126))</f>
        <v>Helotes</v>
      </c>
      <c r="L126" t="str">
        <f>UPPER(LEFT(TRIM(D126),2))</f>
        <v>TX</v>
      </c>
      <c r="M126" t="str">
        <f>IF(OR(UPPER(E126)="UNITED STATES",UPPER(E126)="UNITED STATES OF AMERICA",UPPER(E126)="US",UPPER(E126)="USA"),"USA",E126)</f>
        <v>USA</v>
      </c>
      <c r="N126" t="str" cm="1">
        <f t="array" ref="N126">_xlfn.REGEXEXTRACT(F126,"\d{5}")</f>
        <v>78203</v>
      </c>
    </row>
    <row r="127" spans="1:14" ht="36" x14ac:dyDescent="0.15">
      <c r="A127" s="2" t="s">
        <v>849</v>
      </c>
      <c r="B127" s="2" t="s">
        <v>850</v>
      </c>
      <c r="C127" s="2" t="s">
        <v>29</v>
      </c>
      <c r="D127" s="2" t="s">
        <v>20</v>
      </c>
      <c r="E127" s="2" t="s">
        <v>10</v>
      </c>
      <c r="F127" s="2" t="s">
        <v>727</v>
      </c>
      <c r="G127" s="2"/>
      <c r="H127" s="2"/>
      <c r="I127" s="2" t="str">
        <f>TRIM(CLEAN(SUBSTITUTE(A127,CHAR(10)," ")))</f>
        <v>Star Pizzeria YELLOW ROCK</v>
      </c>
      <c r="J127" s="2" t="str">
        <f>TRIM(CLEAN(SUBSTITUTE(B127,CHAR(10)," ")))</f>
        <v>10001 W Bellfort Ave</v>
      </c>
      <c r="K127" s="3" t="str">
        <f>PROPER(TRIM(C127))</f>
        <v>Houston</v>
      </c>
      <c r="L127" t="str">
        <f>UPPER(LEFT(TRIM(D127),2))</f>
        <v>TX</v>
      </c>
      <c r="M127" t="str">
        <f>IF(OR(UPPER(E127)="UNITED STATES",UPPER(E127)="UNITED STATES OF AMERICA",UPPER(E127)="US",UPPER(E127)="USA"),"USA",E127)</f>
        <v>USA</v>
      </c>
      <c r="N127" t="str" cm="1">
        <f t="array" ref="N127">_xlfn.REGEXEXTRACT(F127,"\d{5}")</f>
        <v>77031</v>
      </c>
    </row>
    <row r="128" spans="1:14" ht="36" x14ac:dyDescent="0.15">
      <c r="A128" s="2" t="s">
        <v>987</v>
      </c>
      <c r="B128" s="2" t="s">
        <v>988</v>
      </c>
      <c r="C128" s="2" t="s">
        <v>29</v>
      </c>
      <c r="D128" s="2" t="s">
        <v>20</v>
      </c>
      <c r="E128" s="2" t="s">
        <v>10</v>
      </c>
      <c r="F128" s="2" t="s">
        <v>989</v>
      </c>
      <c r="G128" s="2"/>
      <c r="H128" s="2"/>
      <c r="I128" s="2" t="str">
        <f>TRIM(CLEAN(SUBSTITUTE(A128,CHAR(10)," ")))</f>
        <v>Kebab Land</v>
      </c>
      <c r="J128" s="2" t="str">
        <f>TRIM(CLEAN(SUBSTITUTE(B128,CHAR(10)," ")))</f>
        <v>10088 Longpoint Road</v>
      </c>
      <c r="K128" s="3" t="str">
        <f>PROPER(TRIM(C128))</f>
        <v>Houston</v>
      </c>
      <c r="L128" t="str">
        <f>UPPER(LEFT(TRIM(D128),2))</f>
        <v>TX</v>
      </c>
      <c r="M128" t="str">
        <f>IF(OR(UPPER(E128)="UNITED STATES",UPPER(E128)="UNITED STATES OF AMERICA",UPPER(E128)="US",UPPER(E128)="USA"),"USA",E128)</f>
        <v>USA</v>
      </c>
      <c r="N128" t="str" cm="1">
        <f t="array" ref="N128">_xlfn.REGEXEXTRACT(F128,"\d{5}")</f>
        <v>77055</v>
      </c>
    </row>
    <row r="129" spans="1:14" ht="24" x14ac:dyDescent="0.15">
      <c r="A129" s="2" t="s">
        <v>962</v>
      </c>
      <c r="B129" s="2" t="s">
        <v>963</v>
      </c>
      <c r="C129" s="2" t="s">
        <v>29</v>
      </c>
      <c r="D129" s="2" t="s">
        <v>20</v>
      </c>
      <c r="E129" s="2" t="s">
        <v>10</v>
      </c>
      <c r="F129" s="2" t="s">
        <v>964</v>
      </c>
      <c r="G129" s="2"/>
      <c r="H129" s="2"/>
      <c r="I129" s="2" t="str">
        <f>TRIM(CLEAN(SUBSTITUTE(A129,CHAR(10)," ")))</f>
        <v>Fadi’s - Memorial</v>
      </c>
      <c r="J129" s="2" t="str">
        <f>TRIM(CLEAN(SUBSTITUTE(B129,CHAR(10)," ")))</f>
        <v>10403 Katy Fwy #150</v>
      </c>
      <c r="K129" s="3" t="str">
        <f>PROPER(TRIM(C129))</f>
        <v>Houston</v>
      </c>
      <c r="L129" t="str">
        <f>UPPER(LEFT(TRIM(D129),2))</f>
        <v>TX</v>
      </c>
      <c r="M129" t="str">
        <f>IF(OR(UPPER(E129)="UNITED STATES",UPPER(E129)="UNITED STATES OF AMERICA",UPPER(E129)="US",UPPER(E129)="USA"),"USA",E129)</f>
        <v>USA</v>
      </c>
      <c r="N129" t="str" cm="1">
        <f t="array" ref="N129">_xlfn.REGEXEXTRACT(F129,"\d{5}")</f>
        <v>77024</v>
      </c>
    </row>
    <row r="130" spans="1:14" ht="36" x14ac:dyDescent="0.15">
      <c r="A130" s="2" t="s">
        <v>836</v>
      </c>
      <c r="B130" s="2" t="s">
        <v>837</v>
      </c>
      <c r="C130" s="2" t="s">
        <v>29</v>
      </c>
      <c r="D130" s="2" t="s">
        <v>20</v>
      </c>
      <c r="E130" s="2" t="s">
        <v>10</v>
      </c>
      <c r="F130" s="2" t="s">
        <v>30</v>
      </c>
      <c r="G130" s="2"/>
      <c r="H130" s="2"/>
      <c r="I130" s="2" t="str">
        <f>TRIM(CLEAN(SUBSTITUTE(A130,CHAR(10)," ")))</f>
        <v>MWI (Mike World Wide Inc)</v>
      </c>
      <c r="J130" s="2" t="str">
        <f>TRIM(CLEAN(SUBSTITUTE(B130,CHAR(10)," ")))</f>
        <v>10515 Harwin Dr, Ste 136</v>
      </c>
      <c r="K130" s="3" t="str">
        <f>PROPER(TRIM(C130))</f>
        <v>Houston</v>
      </c>
      <c r="L130" t="str">
        <f>UPPER(LEFT(TRIM(D130),2))</f>
        <v>TX</v>
      </c>
      <c r="M130" t="str">
        <f>IF(OR(UPPER(E130)="UNITED STATES",UPPER(E130)="UNITED STATES OF AMERICA",UPPER(E130)="US",UPPER(E130)="USA"),"USA",E130)</f>
        <v>USA</v>
      </c>
      <c r="N130" t="str" cm="1">
        <f t="array" ref="N130">_xlfn.REGEXEXTRACT(F130,"\d{5}")</f>
        <v>77036</v>
      </c>
    </row>
    <row r="131" spans="1:14" ht="48" x14ac:dyDescent="0.15">
      <c r="A131" s="2" t="s">
        <v>877</v>
      </c>
      <c r="B131" s="2" t="s">
        <v>878</v>
      </c>
      <c r="C131" s="2" t="s">
        <v>668</v>
      </c>
      <c r="D131" s="2" t="s">
        <v>20</v>
      </c>
      <c r="E131" s="2" t="s">
        <v>152</v>
      </c>
      <c r="F131" s="2" t="s">
        <v>238</v>
      </c>
      <c r="G131" s="2"/>
      <c r="H131" s="2"/>
      <c r="I131" s="2" t="str">
        <f>TRIM(CLEAN(SUBSTITUTE(A131,CHAR(10)," ")))</f>
        <v>WORLDFOOD EXPERSS SUGAR LAND</v>
      </c>
      <c r="J131" s="2" t="str">
        <f>TRIM(CLEAN(SUBSTITUTE(B131,CHAR(10)," ")))</f>
        <v>10560 SYNOTT RD STEE 180</v>
      </c>
      <c r="K131" s="3" t="str">
        <f>PROPER(TRIM(C131))</f>
        <v>Houston</v>
      </c>
      <c r="L131" t="str">
        <f>UPPER(LEFT(TRIM(D131),2))</f>
        <v>TX</v>
      </c>
      <c r="M131" t="str">
        <f>IF(OR(UPPER(E131)="UNITED STATES",UPPER(E131)="UNITED STATES OF AMERICA",UPPER(E131)="US",UPPER(E131)="USA"),"USA",E131)</f>
        <v>USA</v>
      </c>
      <c r="N131" t="str" cm="1">
        <f t="array" ref="N131">_xlfn.REGEXEXTRACT(F131,"\d{5}")</f>
        <v>77498</v>
      </c>
    </row>
    <row r="132" spans="1:14" ht="36" x14ac:dyDescent="0.15">
      <c r="A132" s="2" t="s">
        <v>857</v>
      </c>
      <c r="B132" s="2" t="s">
        <v>858</v>
      </c>
      <c r="C132" s="2" t="s">
        <v>29</v>
      </c>
      <c r="D132" s="2" t="s">
        <v>20</v>
      </c>
      <c r="E132" s="2"/>
      <c r="F132" s="2" t="s">
        <v>153</v>
      </c>
      <c r="G132" s="2"/>
      <c r="H132" s="2"/>
      <c r="I132" s="2" t="str">
        <f>TRIM(CLEAN(SUBSTITUTE(A132,CHAR(10)," ")))</f>
        <v>Tandoori Kabob House</v>
      </c>
      <c r="J132" s="2" t="str">
        <f>TRIM(CLEAN(SUBSTITUTE(B132,CHAR(10)," ")))</f>
        <v>10728 Cypress Creek Pkwy</v>
      </c>
      <c r="K132" s="3" t="str">
        <f>PROPER(TRIM(C132))</f>
        <v>Houston</v>
      </c>
      <c r="L132" t="str">
        <f>UPPER(LEFT(TRIM(D132),2))</f>
        <v>TX</v>
      </c>
      <c r="M132">
        <f>IF(OR(UPPER(E132)="UNITED STATES",UPPER(E132)="UNITED STATES OF AMERICA",UPPER(E132)="US",UPPER(E132)="USA"),"USA",E132)</f>
        <v>0</v>
      </c>
      <c r="N132" t="str" cm="1">
        <f t="array" ref="N132">_xlfn.REGEXEXTRACT(F132,"\d{5}")</f>
        <v>77040</v>
      </c>
    </row>
    <row r="133" spans="1:14" ht="24" x14ac:dyDescent="0.15">
      <c r="A133" s="2" t="s">
        <v>1386</v>
      </c>
      <c r="B133" s="2" t="s">
        <v>1387</v>
      </c>
      <c r="C133" s="2" t="s">
        <v>29</v>
      </c>
      <c r="D133" s="2" t="s">
        <v>20</v>
      </c>
      <c r="E133" s="2" t="s">
        <v>10</v>
      </c>
      <c r="F133" s="2" t="s">
        <v>797</v>
      </c>
      <c r="G133" s="2"/>
      <c r="H133" s="2"/>
      <c r="I133" s="2" t="str">
        <f>TRIM(CLEAN(SUBSTITUTE(A133,CHAR(10)," ")))</f>
        <v>Unique Imports INC</v>
      </c>
      <c r="J133" s="2" t="str">
        <f>TRIM(CLEAN(SUBSTITUTE(B133,CHAR(10)," ")))</f>
        <v>10854 Kinghurst Dr</v>
      </c>
      <c r="K133" s="3" t="str">
        <f>PROPER(TRIM(C133))</f>
        <v>Houston</v>
      </c>
      <c r="L133" t="str">
        <f>UPPER(LEFT(TRIM(D133),2))</f>
        <v>TX</v>
      </c>
      <c r="M133" t="str">
        <f>IF(OR(UPPER(E133)="UNITED STATES",UPPER(E133)="UNITED STATES OF AMERICA",UPPER(E133)="US",UPPER(E133)="USA"),"USA",E133)</f>
        <v>USA</v>
      </c>
      <c r="N133" t="str" cm="1">
        <f t="array" ref="N133">_xlfn.REGEXEXTRACT(F133,"\d{5}")</f>
        <v>77099</v>
      </c>
    </row>
    <row r="134" spans="1:14" ht="36" x14ac:dyDescent="0.15">
      <c r="A134" s="2" t="s">
        <v>905</v>
      </c>
      <c r="B134" s="2" t="s">
        <v>906</v>
      </c>
      <c r="C134" s="2" t="s">
        <v>668</v>
      </c>
      <c r="D134" s="2" t="s">
        <v>20</v>
      </c>
      <c r="E134" s="2" t="s">
        <v>10</v>
      </c>
      <c r="F134" s="2" t="s">
        <v>907</v>
      </c>
      <c r="G134" s="2"/>
      <c r="H134" s="2"/>
      <c r="I134" s="2" t="str">
        <f>TRIM(CLEAN(SUBSTITUTE(A134,CHAR(10)," ")))</f>
        <v>Avesta Persian Grill</v>
      </c>
      <c r="J134" s="2" t="str">
        <f>TRIM(CLEAN(SUBSTITUTE(B134,CHAR(10)," ")))</f>
        <v>11165 Westheimer Rd</v>
      </c>
      <c r="K134" s="3" t="str">
        <f>PROPER(TRIM(C134))</f>
        <v>Houston</v>
      </c>
      <c r="L134" t="str">
        <f>UPPER(LEFT(TRIM(D134),2))</f>
        <v>TX</v>
      </c>
      <c r="M134" t="str">
        <f>IF(OR(UPPER(E134)="UNITED STATES",UPPER(E134)="UNITED STATES OF AMERICA",UPPER(E134)="US",UPPER(E134)="USA"),"USA",E134)</f>
        <v>USA</v>
      </c>
      <c r="N134" t="str" cm="1">
        <f t="array" ref="N134">_xlfn.REGEXEXTRACT(F134,"\d{5}")</f>
        <v>77042</v>
      </c>
    </row>
    <row r="135" spans="1:14" ht="72" x14ac:dyDescent="0.15">
      <c r="A135" s="2" t="s">
        <v>725</v>
      </c>
      <c r="B135" s="2" t="s">
        <v>726</v>
      </c>
      <c r="C135" s="2" t="s">
        <v>29</v>
      </c>
      <c r="D135" s="9" t="s">
        <v>20</v>
      </c>
      <c r="E135" s="2" t="s">
        <v>10</v>
      </c>
      <c r="F135" s="2" t="s">
        <v>727</v>
      </c>
      <c r="G135" s="2"/>
      <c r="H135" s="2"/>
      <c r="I135" s="2" t="str">
        <f>TRIM(CLEAN(SUBSTITUTE(A135,CHAR(10)," ")))</f>
        <v>ACACIA INT’L GROCERY BAKERY AND HALAL MEAT</v>
      </c>
      <c r="J135" s="2" t="str">
        <f>TRIM(CLEAN(SUBSTITUTE(B135,CHAR(10)," ")))</f>
        <v>11821 Wilcrest Dr.</v>
      </c>
      <c r="K135" s="3" t="str">
        <f>PROPER(TRIM(C135))</f>
        <v>Houston</v>
      </c>
      <c r="L135" s="8" t="s">
        <v>20</v>
      </c>
      <c r="M135" t="str">
        <f>IF(OR(UPPER(E135)="UNITED STATES",UPPER(E135)="UNITED STATES OF AMERICA",UPPER(E135)="US",UPPER(E135)="USA"),"USA",E135)</f>
        <v>USA</v>
      </c>
      <c r="N135" t="str" cm="1">
        <f t="array" ref="N135">_xlfn.REGEXEXTRACT(F135,"\d{5}")</f>
        <v>77031</v>
      </c>
    </row>
    <row r="136" spans="1:14" ht="24" x14ac:dyDescent="0.15">
      <c r="A136" s="2" t="s">
        <v>779</v>
      </c>
      <c r="B136" s="2" t="s">
        <v>780</v>
      </c>
      <c r="C136" s="2" t="s">
        <v>29</v>
      </c>
      <c r="D136" s="2" t="s">
        <v>20</v>
      </c>
      <c r="E136" s="2" t="s">
        <v>10</v>
      </c>
      <c r="F136" s="2" t="s">
        <v>781</v>
      </c>
      <c r="G136" s="2"/>
      <c r="H136" s="2"/>
      <c r="I136" s="2" t="str">
        <f>TRIM(CLEAN(SUBSTITUTE(A136,CHAR(10)," ")))</f>
        <v>Sintek North America</v>
      </c>
      <c r="J136" s="2" t="str">
        <f>TRIM(CLEAN(SUBSTITUTE(B136,CHAR(10)," ")))</f>
        <v>1201 Fannin St Suite #262</v>
      </c>
      <c r="K136" s="3" t="str">
        <f>PROPER(TRIM(C136))</f>
        <v>Houston</v>
      </c>
      <c r="L136" t="str">
        <f>UPPER(LEFT(TRIM(D136),2))</f>
        <v>TX</v>
      </c>
      <c r="M136" t="str">
        <f>IF(OR(UPPER(E136)="UNITED STATES",UPPER(E136)="UNITED STATES OF AMERICA",UPPER(E136)="US",UPPER(E136)="USA"),"USA",E136)</f>
        <v>USA</v>
      </c>
      <c r="N136" t="str" cm="1">
        <f t="array" ref="N136">_xlfn.REGEXEXTRACT(F136,"\d{5}")</f>
        <v>77494</v>
      </c>
    </row>
    <row r="137" spans="1:14" ht="36" x14ac:dyDescent="0.15">
      <c r="A137" s="2" t="s">
        <v>980</v>
      </c>
      <c r="B137" s="2" t="s">
        <v>981</v>
      </c>
      <c r="C137" s="2" t="s">
        <v>29</v>
      </c>
      <c r="D137" s="2" t="s">
        <v>20</v>
      </c>
      <c r="E137" s="2" t="s">
        <v>10</v>
      </c>
      <c r="F137" s="2" t="s">
        <v>892</v>
      </c>
      <c r="G137" s="2"/>
      <c r="H137" s="2"/>
      <c r="I137" s="2" t="str">
        <f>TRIM(CLEAN(SUBSTITUTE(A137,CHAR(10)," ")))</f>
        <v>kasra Persian cafe (Nasa persian llc)</v>
      </c>
      <c r="J137" s="2" t="str">
        <f>TRIM(CLEAN(SUBSTITUTE(B137,CHAR(10)," ")))</f>
        <v>1212 E NASA Pkwy</v>
      </c>
      <c r="K137" s="3" t="str">
        <f>PROPER(TRIM(C137))</f>
        <v>Houston</v>
      </c>
      <c r="L137" t="str">
        <f>UPPER(LEFT(TRIM(D137),2))</f>
        <v>TX</v>
      </c>
      <c r="M137" t="str">
        <f>IF(OR(UPPER(E137)="UNITED STATES",UPPER(E137)="UNITED STATES OF AMERICA",UPPER(E137)="US",UPPER(E137)="USA"),"USA",E137)</f>
        <v>USA</v>
      </c>
      <c r="N137" t="str" cm="1">
        <f t="array" ref="N137">_xlfn.REGEXEXTRACT(F137,"\d{5}")</f>
        <v>77058</v>
      </c>
    </row>
    <row r="138" spans="1:14" ht="48" x14ac:dyDescent="0.15">
      <c r="A138" s="2" t="s">
        <v>1039</v>
      </c>
      <c r="B138" s="2" t="s">
        <v>1040</v>
      </c>
      <c r="C138" s="2" t="s">
        <v>29</v>
      </c>
      <c r="D138" s="2" t="s">
        <v>20</v>
      </c>
      <c r="E138" s="2" t="s">
        <v>152</v>
      </c>
      <c r="F138" s="2" t="s">
        <v>756</v>
      </c>
      <c r="G138" s="2"/>
      <c r="H138" s="2"/>
      <c r="I138" s="2" t="str">
        <f>TRIM(CLEAN(SUBSTITUTE(A138,CHAR(10)," ")))</f>
        <v>Phoenicia Specialty Foods</v>
      </c>
      <c r="J138" s="2" t="str">
        <f>TRIM(CLEAN(SUBSTITUTE(B138,CHAR(10)," ")))</f>
        <v>12141 Westheimer Rd, Houston, TX 77077</v>
      </c>
      <c r="K138" s="3" t="str">
        <f>PROPER(TRIM(C138))</f>
        <v>Houston</v>
      </c>
      <c r="L138" t="str">
        <f>UPPER(LEFT(TRIM(D138),2))</f>
        <v>TX</v>
      </c>
      <c r="M138" t="str">
        <f>IF(OR(UPPER(E138)="UNITED STATES",UPPER(E138)="UNITED STATES OF AMERICA",UPPER(E138)="US",UPPER(E138)="USA"),"USA",E138)</f>
        <v>USA</v>
      </c>
      <c r="N138" t="str" cm="1">
        <f t="array" ref="N138">_xlfn.REGEXEXTRACT(F138,"\d{5}")</f>
        <v>77077</v>
      </c>
    </row>
    <row r="139" spans="1:14" ht="36" x14ac:dyDescent="0.15">
      <c r="A139" s="2" t="s">
        <v>1059</v>
      </c>
      <c r="B139" s="2" t="s">
        <v>1060</v>
      </c>
      <c r="C139" s="2" t="s">
        <v>29</v>
      </c>
      <c r="D139" s="2" t="s">
        <v>20</v>
      </c>
      <c r="E139" s="2" t="s">
        <v>10</v>
      </c>
      <c r="F139" s="2" t="s">
        <v>756</v>
      </c>
      <c r="G139" s="2"/>
      <c r="H139" s="2"/>
      <c r="I139" s="2" t="str">
        <f>TRIM(CLEAN(SUBSTITUTE(A139,CHAR(10)," ")))</f>
        <v>Simit And Poacha vatoz</v>
      </c>
      <c r="J139" s="2" t="str">
        <f>TRIM(CLEAN(SUBSTITUTE(B139,CHAR(10)," ")))</f>
        <v>12315 Westheimer Rd Ste D</v>
      </c>
      <c r="K139" s="3" t="str">
        <f>PROPER(TRIM(C139))</f>
        <v>Houston</v>
      </c>
      <c r="L139" t="str">
        <f>UPPER(LEFT(TRIM(D139),2))</f>
        <v>TX</v>
      </c>
      <c r="M139" t="str">
        <f>IF(OR(UPPER(E139)="UNITED STATES",UPPER(E139)="UNITED STATES OF AMERICA",UPPER(E139)="US",UPPER(E139)="USA"),"USA",E139)</f>
        <v>USA</v>
      </c>
      <c r="N139" t="str" cm="1">
        <f t="array" ref="N139">_xlfn.REGEXEXTRACT(F139,"\d{5}")</f>
        <v>77077</v>
      </c>
    </row>
    <row r="140" spans="1:14" ht="36" x14ac:dyDescent="0.15">
      <c r="A140" s="2" t="s">
        <v>960</v>
      </c>
      <c r="B140" s="2" t="s">
        <v>961</v>
      </c>
      <c r="C140" s="2" t="s">
        <v>29</v>
      </c>
      <c r="D140" s="2" t="s">
        <v>20</v>
      </c>
      <c r="E140" s="2" t="s">
        <v>10</v>
      </c>
      <c r="F140" s="2" t="s">
        <v>756</v>
      </c>
      <c r="G140" s="2"/>
      <c r="H140" s="2"/>
      <c r="I140" s="2" t="str">
        <f>TRIM(CLEAN(SUBSTITUTE(A140,CHAR(10)," ")))</f>
        <v>Fadi's - Westeimer</v>
      </c>
      <c r="J140" s="2" t="str">
        <f>TRIM(CLEAN(SUBSTITUTE(B140,CHAR(10)," ")))</f>
        <v>12360 Westheimer Rd Suite A</v>
      </c>
      <c r="K140" s="3" t="str">
        <f>PROPER(TRIM(C140))</f>
        <v>Houston</v>
      </c>
      <c r="L140" t="str">
        <f>UPPER(LEFT(TRIM(D140),2))</f>
        <v>TX</v>
      </c>
      <c r="M140" t="str">
        <f>IF(OR(UPPER(E140)="UNITED STATES",UPPER(E140)="UNITED STATES OF AMERICA",UPPER(E140)="US",UPPER(E140)="USA"),"USA",E140)</f>
        <v>USA</v>
      </c>
      <c r="N140" t="str" cm="1">
        <f t="array" ref="N140">_xlfn.REGEXEXTRACT(F140,"\d{5}")</f>
        <v>77077</v>
      </c>
    </row>
    <row r="141" spans="1:14" ht="36" x14ac:dyDescent="0.15">
      <c r="A141" s="2" t="s">
        <v>1182</v>
      </c>
      <c r="B141" s="2" t="s">
        <v>1183</v>
      </c>
      <c r="C141" s="2" t="s">
        <v>29</v>
      </c>
      <c r="D141" s="2" t="s">
        <v>20</v>
      </c>
      <c r="E141" s="2"/>
      <c r="F141" s="2" t="s">
        <v>153</v>
      </c>
      <c r="G141" s="2"/>
      <c r="H141" s="2"/>
      <c r="I141" s="2" t="str">
        <f>TRIM(CLEAN(SUBSTITUTE(A141,CHAR(10)," ")))</f>
        <v>MODA CAFE, LLC</v>
      </c>
      <c r="J141" s="2" t="str">
        <f>TRIM(CLEAN(SUBSTITUTE(B141,CHAR(10)," ")))</f>
        <v>12430 Hempstead Rd</v>
      </c>
      <c r="K141" s="3" t="str">
        <f>PROPER(TRIM(C141))</f>
        <v>Houston</v>
      </c>
      <c r="L141" t="str">
        <f>UPPER(LEFT(TRIM(D141),2))</f>
        <v>TX</v>
      </c>
      <c r="M141">
        <f>IF(OR(UPPER(E141)="UNITED STATES",UPPER(E141)="UNITED STATES OF AMERICA",UPPER(E141)="US",UPPER(E141)="USA"),"USA",E141)</f>
        <v>0</v>
      </c>
      <c r="N141" t="str" cm="1">
        <f t="array" ref="N141">_xlfn.REGEXEXTRACT(F141,"\d{5}")</f>
        <v>77040</v>
      </c>
    </row>
    <row r="142" spans="1:14" ht="36" x14ac:dyDescent="0.15">
      <c r="A142" s="2" t="s">
        <v>825</v>
      </c>
      <c r="B142" s="2" t="s">
        <v>826</v>
      </c>
      <c r="C142" s="2" t="s">
        <v>29</v>
      </c>
      <c r="D142" s="2" t="s">
        <v>20</v>
      </c>
      <c r="E142" s="2" t="s">
        <v>10</v>
      </c>
      <c r="F142" s="2" t="s">
        <v>481</v>
      </c>
      <c r="G142" s="2"/>
      <c r="H142" s="2"/>
      <c r="I142" s="2" t="str">
        <f>TRIM(CLEAN(SUBSTITUTE(A142,CHAR(10)," ")))</f>
        <v>Keystone Tile Inc</v>
      </c>
      <c r="J142" s="2" t="str">
        <f>TRIM(CLEAN(SUBSTITUTE(B142,CHAR(10)," ")))</f>
        <v>12608 Hempstead Rd</v>
      </c>
      <c r="K142" s="3" t="str">
        <f>PROPER(TRIM(C142))</f>
        <v>Houston</v>
      </c>
      <c r="L142" t="str">
        <f>UPPER(LEFT(TRIM(D142),2))</f>
        <v>TX</v>
      </c>
      <c r="M142" t="str">
        <f>IF(OR(UPPER(E142)="UNITED STATES",UPPER(E142)="UNITED STATES OF AMERICA",UPPER(E142)="US",UPPER(E142)="USA"),"USA",E142)</f>
        <v>USA</v>
      </c>
      <c r="N142" t="str" cm="1">
        <f t="array" ref="N142">_xlfn.REGEXEXTRACT(F142,"\d{5}")</f>
        <v>77092</v>
      </c>
    </row>
    <row r="143" spans="1:14" ht="24" x14ac:dyDescent="0.15">
      <c r="A143" s="2" t="s">
        <v>1003</v>
      </c>
      <c r="B143" s="2" t="s">
        <v>1004</v>
      </c>
      <c r="C143" s="2" t="s">
        <v>29</v>
      </c>
      <c r="D143" s="2" t="s">
        <v>20</v>
      </c>
      <c r="E143" s="2" t="s">
        <v>10</v>
      </c>
      <c r="F143" s="2" t="s">
        <v>1005</v>
      </c>
      <c r="G143" s="2"/>
      <c r="H143" s="2"/>
      <c r="I143" s="2" t="str">
        <f>TRIM(CLEAN(SUBSTITUTE(A143,CHAR(10)," ")))</f>
        <v>Mama Fontana</v>
      </c>
      <c r="J143" s="2" t="str">
        <f>TRIM(CLEAN(SUBSTITUTE(B143,CHAR(10)," ")))</f>
        <v>14779 Memorial Dr</v>
      </c>
      <c r="K143" s="3" t="str">
        <f>PROPER(TRIM(C143))</f>
        <v>Houston</v>
      </c>
      <c r="L143" t="str">
        <f>UPPER(LEFT(TRIM(D143),2))</f>
        <v>TX</v>
      </c>
      <c r="M143" t="str">
        <f>IF(OR(UPPER(E143)="UNITED STATES",UPPER(E143)="UNITED STATES OF AMERICA",UPPER(E143)="US",UPPER(E143)="USA"),"USA",E143)</f>
        <v>USA</v>
      </c>
      <c r="N143" t="str" cm="1">
        <f t="array" ref="N143">_xlfn.REGEXEXTRACT(F143,"\d{5}")</f>
        <v>77079</v>
      </c>
    </row>
    <row r="144" spans="1:14" ht="60" x14ac:dyDescent="0.15">
      <c r="A144" s="2" t="s">
        <v>1027</v>
      </c>
      <c r="B144" s="2" t="s">
        <v>1028</v>
      </c>
      <c r="C144" s="2" t="s">
        <v>668</v>
      </c>
      <c r="D144" s="2" t="s">
        <v>20</v>
      </c>
      <c r="E144" s="2" t="s">
        <v>10</v>
      </c>
      <c r="F144" s="2" t="s">
        <v>1029</v>
      </c>
      <c r="G144" s="2"/>
      <c r="H144" s="2"/>
      <c r="I144" s="2" t="str">
        <f>TRIM(CLEAN(SUBSTITUTE(A144,CHAR(10)," ")))</f>
        <v>Must Go Coffee</v>
      </c>
      <c r="J144" s="2" t="str">
        <f>TRIM(CLEAN(SUBSTITUTE(B144,CHAR(10)," ")))</f>
        <v>15000 Bammel north Houston rd. Houston Tx 77014</v>
      </c>
      <c r="K144" s="3" t="str">
        <f>PROPER(TRIM(C144))</f>
        <v>Houston</v>
      </c>
      <c r="L144" t="str">
        <f>UPPER(LEFT(TRIM(D144),2))</f>
        <v>TX</v>
      </c>
      <c r="M144" t="str">
        <f>IF(OR(UPPER(E144)="UNITED STATES",UPPER(E144)="UNITED STATES OF AMERICA",UPPER(E144)="US",UPPER(E144)="USA"),"USA",E144)</f>
        <v>USA</v>
      </c>
      <c r="N144" t="str" cm="1">
        <f t="array" ref="N144">_xlfn.REGEXEXTRACT(F144,"\d{5}")</f>
        <v>77014</v>
      </c>
    </row>
    <row r="145" spans="1:14" ht="36" x14ac:dyDescent="0.15">
      <c r="A145" s="2" t="s">
        <v>815</v>
      </c>
      <c r="B145" s="2" t="s">
        <v>816</v>
      </c>
      <c r="C145" s="2" t="s">
        <v>29</v>
      </c>
      <c r="D145" s="2" t="s">
        <v>20</v>
      </c>
      <c r="E145" s="2" t="s">
        <v>10</v>
      </c>
      <c r="F145" s="2" t="s">
        <v>817</v>
      </c>
      <c r="G145" s="2"/>
      <c r="H145" s="2"/>
      <c r="I145" s="2" t="str">
        <f>TRIM(CLEAN(SUBSTITUTE(A145,CHAR(10)," ")))</f>
        <v>Hira Halal Meat &amp; Groceries</v>
      </c>
      <c r="J145" s="2" t="str">
        <f>TRIM(CLEAN(SUBSTITUTE(B145,CHAR(10)," ")))</f>
        <v>17023 FM 529</v>
      </c>
      <c r="K145" s="3" t="str">
        <f>PROPER(TRIM(C145))</f>
        <v>Houston</v>
      </c>
      <c r="L145" t="str">
        <f>UPPER(LEFT(TRIM(D145),2))</f>
        <v>TX</v>
      </c>
      <c r="M145" t="str">
        <f>IF(OR(UPPER(E145)="UNITED STATES",UPPER(E145)="UNITED STATES OF AMERICA",UPPER(E145)="US",UPPER(E145)="USA"),"USA",E145)</f>
        <v>USA</v>
      </c>
      <c r="N145" t="str" cm="1">
        <f t="array" ref="N145">_xlfn.REGEXEXTRACT(F145,"\d{5}")</f>
        <v>77095</v>
      </c>
    </row>
    <row r="146" spans="1:14" ht="36" x14ac:dyDescent="0.15">
      <c r="A146" s="2" t="s">
        <v>890</v>
      </c>
      <c r="B146" s="2" t="s">
        <v>891</v>
      </c>
      <c r="C146" s="2" t="s">
        <v>29</v>
      </c>
      <c r="D146" s="2" t="s">
        <v>20</v>
      </c>
      <c r="E146" s="2" t="s">
        <v>10</v>
      </c>
      <c r="F146" s="2" t="s">
        <v>892</v>
      </c>
      <c r="G146" s="2"/>
      <c r="H146" s="2"/>
      <c r="I146" s="2" t="str">
        <f>TRIM(CLEAN(SUBSTITUTE(A146,CHAR(10)," ")))</f>
        <v>Al Aqsa Halal meat Market - Clear Lake</v>
      </c>
      <c r="J146" s="2" t="str">
        <f>TRIM(CLEAN(SUBSTITUTE(B146,CHAR(10)," ")))</f>
        <v>17325 El Camino Real</v>
      </c>
      <c r="K146" s="3" t="str">
        <f>PROPER(TRIM(C146))</f>
        <v>Houston</v>
      </c>
      <c r="L146" t="str">
        <f>UPPER(LEFT(TRIM(D146),2))</f>
        <v>TX</v>
      </c>
      <c r="M146" t="str">
        <f>IF(OR(UPPER(E146)="UNITED STATES",UPPER(E146)="UNITED STATES OF AMERICA",UPPER(E146)="US",UPPER(E146)="USA"),"USA",E146)</f>
        <v>USA</v>
      </c>
      <c r="N146" t="str" cm="1">
        <f t="array" ref="N146">_xlfn.REGEXEXTRACT(F146,"\d{5}")</f>
        <v>77058</v>
      </c>
    </row>
    <row r="147" spans="1:14" ht="72" x14ac:dyDescent="0.15">
      <c r="A147" s="2" t="s">
        <v>896</v>
      </c>
      <c r="B147" s="2" t="s">
        <v>897</v>
      </c>
      <c r="C147" s="2" t="s">
        <v>29</v>
      </c>
      <c r="D147" s="2" t="s">
        <v>20</v>
      </c>
      <c r="E147" s="2" t="s">
        <v>10</v>
      </c>
      <c r="F147" s="2" t="s">
        <v>817</v>
      </c>
      <c r="G147" s="2"/>
      <c r="H147" s="2"/>
      <c r="I147" s="2" t="str">
        <f>TRIM(CLEAN(SUBSTITUTE(A147,CHAR(10)," ")))</f>
        <v>AlBaraka Halal Meat &amp; Grill Restaurant World Food Super Market</v>
      </c>
      <c r="J147" s="2" t="str">
        <f>TRIM(CLEAN(SUBSTITUTE(B147,CHAR(10)," ")))</f>
        <v>17754 Farm to Market Rd 529</v>
      </c>
      <c r="K147" s="3" t="str">
        <f>PROPER(TRIM(C147))</f>
        <v>Houston</v>
      </c>
      <c r="L147" t="str">
        <f>UPPER(LEFT(TRIM(D147),2))</f>
        <v>TX</v>
      </c>
      <c r="M147" t="str">
        <f>IF(OR(UPPER(E147)="UNITED STATES",UPPER(E147)="UNITED STATES OF AMERICA",UPPER(E147)="US",UPPER(E147)="USA"),"USA",E147)</f>
        <v>USA</v>
      </c>
      <c r="N147" t="str" cm="1">
        <f t="array" ref="N147">_xlfn.REGEXEXTRACT(F147,"\d{5}")</f>
        <v>77095</v>
      </c>
    </row>
    <row r="148" spans="1:14" ht="24" x14ac:dyDescent="0.15">
      <c r="A148" s="2" t="s">
        <v>952</v>
      </c>
      <c r="B148" s="2" t="s">
        <v>953</v>
      </c>
      <c r="C148" s="2" t="s">
        <v>29</v>
      </c>
      <c r="D148" s="2" t="s">
        <v>20</v>
      </c>
      <c r="E148" s="2"/>
      <c r="F148" s="2" t="s">
        <v>842</v>
      </c>
      <c r="G148" s="2"/>
      <c r="H148" s="2"/>
      <c r="I148" s="2" t="str">
        <f>TRIM(CLEAN(SUBSTITUTE(A148,CHAR(10)," ")))</f>
        <v>Fadi's - Eatery</v>
      </c>
      <c r="J148" s="2" t="str">
        <f>TRIM(CLEAN(SUBSTITUTE(B148,CHAR(10)," ")))</f>
        <v>1801 Binz St #130</v>
      </c>
      <c r="K148" s="3" t="str">
        <f>PROPER(TRIM(C148))</f>
        <v>Houston</v>
      </c>
      <c r="L148" t="str">
        <f>UPPER(LEFT(TRIM(D148),2))</f>
        <v>TX</v>
      </c>
      <c r="M148">
        <f>IF(OR(UPPER(E148)="UNITED STATES",UPPER(E148)="UNITED STATES OF AMERICA",UPPER(E148)="US",UPPER(E148)="USA"),"USA",E148)</f>
        <v>0</v>
      </c>
      <c r="N148" t="str" cm="1">
        <f t="array" ref="N148">_xlfn.REGEXEXTRACT(F148,"\d{5}")</f>
        <v>77004</v>
      </c>
    </row>
    <row r="149" spans="1:14" ht="24" x14ac:dyDescent="0.15">
      <c r="A149" s="2" t="s">
        <v>840</v>
      </c>
      <c r="B149" s="2" t="s">
        <v>841</v>
      </c>
      <c r="C149" s="2" t="s">
        <v>29</v>
      </c>
      <c r="D149" s="2" t="s">
        <v>20</v>
      </c>
      <c r="E149" s="2" t="s">
        <v>10</v>
      </c>
      <c r="F149" s="2" t="s">
        <v>842</v>
      </c>
      <c r="G149" s="2"/>
      <c r="H149" s="2"/>
      <c r="I149" s="2" t="str">
        <f>TRIM(CLEAN(SUBSTITUTE(A149,CHAR(10)," ")))</f>
        <v>OZARK TRADE</v>
      </c>
      <c r="J149" s="2" t="str">
        <f>TRIM(CLEAN(SUBSTITUTE(B149,CHAR(10)," ")))</f>
        <v>1802 Binz Corporation</v>
      </c>
      <c r="K149" s="3" t="str">
        <f>PROPER(TRIM(C149))</f>
        <v>Houston</v>
      </c>
      <c r="L149" t="str">
        <f>UPPER(LEFT(TRIM(D149),2))</f>
        <v>TX</v>
      </c>
      <c r="M149" t="str">
        <f>IF(OR(UPPER(E149)="UNITED STATES",UPPER(E149)="UNITED STATES OF AMERICA",UPPER(E149)="US",UPPER(E149)="USA"),"USA",E149)</f>
        <v>USA</v>
      </c>
      <c r="N149" t="str" cm="1">
        <f t="array" ref="N149">_xlfn.REGEXEXTRACT(F149,"\d{5}")</f>
        <v>77004</v>
      </c>
    </row>
    <row r="150" spans="1:14" ht="36" x14ac:dyDescent="0.15">
      <c r="A150" s="2" t="s">
        <v>171</v>
      </c>
      <c r="B150" s="2" t="s">
        <v>172</v>
      </c>
      <c r="C150" s="2" t="s">
        <v>173</v>
      </c>
      <c r="D150" s="2" t="s">
        <v>102</v>
      </c>
      <c r="E150" s="2" t="s">
        <v>152</v>
      </c>
      <c r="F150" s="2" t="s">
        <v>174</v>
      </c>
      <c r="G150" s="2"/>
      <c r="H150" s="2"/>
      <c r="I150" s="2" t="str">
        <f>TRIM(CLEAN(SUBSTITUTE(A150,CHAR(10)," ")))</f>
        <v>coffein</v>
      </c>
      <c r="J150" s="2" t="str">
        <f>TRIM(CLEAN(SUBSTITUTE(B150,CHAR(10)," ")))</f>
        <v>1840 westheimer rd</v>
      </c>
      <c r="K150" s="3" t="str">
        <f>PROPER(TRIM(C150))</f>
        <v>Houston</v>
      </c>
      <c r="L150" s="8" t="s">
        <v>20</v>
      </c>
      <c r="M150" t="str">
        <f>IF(OR(UPPER(E150)="UNITED STATES",UPPER(E150)="UNITED STATES OF AMERICA",UPPER(E150)="US",UPPER(E150)="USA"),"USA",E150)</f>
        <v>USA</v>
      </c>
      <c r="N150" t="str" cm="1">
        <f t="array" ref="N150">_xlfn.REGEXEXTRACT(F150,"\d{5}")</f>
        <v>77098</v>
      </c>
    </row>
    <row r="151" spans="1:14" ht="24" x14ac:dyDescent="0.15">
      <c r="A151" s="2" t="s">
        <v>754</v>
      </c>
      <c r="B151" s="2" t="s">
        <v>755</v>
      </c>
      <c r="C151" s="2" t="s">
        <v>29</v>
      </c>
      <c r="D151" s="2" t="s">
        <v>20</v>
      </c>
      <c r="E151" s="2" t="s">
        <v>10</v>
      </c>
      <c r="F151" s="2" t="s">
        <v>756</v>
      </c>
      <c r="G151" s="2"/>
      <c r="H151" s="2"/>
      <c r="I151" s="2" t="str">
        <f>TRIM(CLEAN(SUBSTITUTE(A151,CHAR(10)," ")))</f>
        <v>Ayintap</v>
      </c>
      <c r="J151" s="2" t="str">
        <f>TRIM(CLEAN(SUBSTITUTE(B151,CHAR(10)," ")))</f>
        <v>2209 HWY 6 South</v>
      </c>
      <c r="K151" s="3" t="str">
        <f>PROPER(TRIM(C151))</f>
        <v>Houston</v>
      </c>
      <c r="L151" t="str">
        <f>UPPER(LEFT(TRIM(D151),2))</f>
        <v>TX</v>
      </c>
      <c r="M151" t="str">
        <f>IF(OR(UPPER(E151)="UNITED STATES",UPPER(E151)="UNITED STATES OF AMERICA",UPPER(E151)="US",UPPER(E151)="USA"),"USA",E151)</f>
        <v>USA</v>
      </c>
      <c r="N151" t="str" cm="1">
        <f t="array" ref="N151">_xlfn.REGEXEXTRACT(F151,"\d{5}")</f>
        <v>77077</v>
      </c>
    </row>
    <row r="152" spans="1:14" ht="60" x14ac:dyDescent="0.15">
      <c r="A152" s="2" t="s">
        <v>912</v>
      </c>
      <c r="B152" s="2" t="s">
        <v>913</v>
      </c>
      <c r="C152" s="2" t="s">
        <v>29</v>
      </c>
      <c r="D152" s="2" t="s">
        <v>20</v>
      </c>
      <c r="E152" s="2" t="s">
        <v>10</v>
      </c>
      <c r="F152" s="2" t="s">
        <v>750</v>
      </c>
      <c r="G152" s="2"/>
      <c r="H152" s="2"/>
      <c r="I152" s="2" t="str">
        <f>TRIM(CLEAN(SUBSTITUTE(A152,CHAR(10)," ")))</f>
        <v>Bake Me Happy Bakery</v>
      </c>
      <c r="J152" s="2" t="str">
        <f>TRIM(CLEAN(SUBSTITUTE(B152,CHAR(10)," ")))</f>
        <v>24441 Tomball Pkwy Suite 180, Houston, TX 77375</v>
      </c>
      <c r="K152" s="3" t="str">
        <f>PROPER(TRIM(C152))</f>
        <v>Houston</v>
      </c>
      <c r="L152" t="str">
        <f>UPPER(LEFT(TRIM(D152),2))</f>
        <v>TX</v>
      </c>
      <c r="M152" t="str">
        <f>IF(OR(UPPER(E152)="UNITED STATES",UPPER(E152)="UNITED STATES OF AMERICA",UPPER(E152)="US",UPPER(E152)="USA"),"USA",E152)</f>
        <v>USA</v>
      </c>
      <c r="N152" t="str" cm="1">
        <f t="array" ref="N152">_xlfn.REGEXEXTRACT(F152,"\d{5}")</f>
        <v>77375</v>
      </c>
    </row>
    <row r="153" spans="1:14" ht="48" x14ac:dyDescent="0.15">
      <c r="A153" s="2" t="s">
        <v>1021</v>
      </c>
      <c r="B153" s="2" t="s">
        <v>1022</v>
      </c>
      <c r="C153" s="2" t="s">
        <v>29</v>
      </c>
      <c r="D153" s="2" t="s">
        <v>102</v>
      </c>
      <c r="E153" s="2" t="s">
        <v>1023</v>
      </c>
      <c r="F153" s="2" t="s">
        <v>1024</v>
      </c>
      <c r="G153" s="2"/>
      <c r="H153" s="2"/>
      <c r="I153" s="2" t="str">
        <f>TRIM(CLEAN(SUBSTITUTE(A153,CHAR(10)," ")))</f>
        <v>Midpoint Bar and Eatery</v>
      </c>
      <c r="J153" s="2" t="str">
        <f>TRIM(CLEAN(SUBSTITUTE(B153,CHAR(10)," ")))</f>
        <v>25600 Westheimer PKWY STE 400</v>
      </c>
      <c r="K153" s="3" t="str">
        <f>PROPER(TRIM(C153))</f>
        <v>Houston</v>
      </c>
      <c r="L153" s="8" t="s">
        <v>20</v>
      </c>
      <c r="M153" t="str">
        <f>IF(OR(UPPER(E153)="UNITED STATES",UPPER(E153)="UNITED STATES OF AMERICA",UPPER(E153)="US",UPPER(E153)="USA"),"USA",E153)</f>
        <v>Fort Bend County</v>
      </c>
      <c r="N153" t="str" cm="1">
        <f t="array" ref="N153">_xlfn.REGEXEXTRACT(F153,"\d{5}")</f>
        <v>77494</v>
      </c>
    </row>
    <row r="154" spans="1:14" ht="48" x14ac:dyDescent="0.15">
      <c r="A154" s="2" t="s">
        <v>1252</v>
      </c>
      <c r="B154" s="2" t="s">
        <v>1253</v>
      </c>
      <c r="C154" s="2" t="s">
        <v>668</v>
      </c>
      <c r="D154" s="2" t="s">
        <v>20</v>
      </c>
      <c r="E154" s="2" t="s">
        <v>10</v>
      </c>
      <c r="F154" s="2" t="s">
        <v>781</v>
      </c>
      <c r="G154" s="2"/>
      <c r="H154" s="2"/>
      <c r="I154" s="2" t="str">
        <f>TRIM(CLEAN(SUBSTITUTE(A154,CHAR(10)," ")))</f>
        <v>Samak Seafood Market and Cuisine</v>
      </c>
      <c r="J154" s="2" t="str">
        <f>TRIM(CLEAN(SUBSTITUTE(B154,CHAR(10)," ")))</f>
        <v>25600 Westheimer Pkwy #100, Katy, TX</v>
      </c>
      <c r="K154" s="3" t="str">
        <f>PROPER(TRIM(C154))</f>
        <v>Houston</v>
      </c>
      <c r="L154" t="str">
        <f>UPPER(LEFT(TRIM(D154),2))</f>
        <v>TX</v>
      </c>
      <c r="M154" t="str">
        <f>IF(OR(UPPER(E154)="UNITED STATES",UPPER(E154)="UNITED STATES OF AMERICA",UPPER(E154)="US",UPPER(E154)="USA"),"USA",E154)</f>
        <v>USA</v>
      </c>
      <c r="N154" t="str" cm="1">
        <f t="array" ref="N154">_xlfn.REGEXEXTRACT(F154,"\d{5}")</f>
        <v>77494</v>
      </c>
    </row>
    <row r="155" spans="1:14" ht="36" x14ac:dyDescent="0.15">
      <c r="A155" s="2" t="s">
        <v>882</v>
      </c>
      <c r="B155" s="2" t="s">
        <v>883</v>
      </c>
      <c r="C155" s="2" t="s">
        <v>29</v>
      </c>
      <c r="D155" s="2" t="s">
        <v>20</v>
      </c>
      <c r="E155" s="2" t="s">
        <v>10</v>
      </c>
      <c r="F155" s="2" t="s">
        <v>733</v>
      </c>
      <c r="G155" s="2"/>
      <c r="H155" s="2"/>
      <c r="I155" s="2" t="str">
        <f>TRIM(CLEAN(SUBSTITUTE(A155,CHAR(10)," ")))</f>
        <v>Zaina Supermarket &amp; Bakery</v>
      </c>
      <c r="J155" s="2" t="str">
        <f>TRIM(CLEAN(SUBSTITUTE(B155,CHAR(10)," ")))</f>
        <v>2735 Fondren Rd, Houston, TX 77063</v>
      </c>
      <c r="K155" s="3" t="str">
        <f>PROPER(TRIM(C155))</f>
        <v>Houston</v>
      </c>
      <c r="L155" t="str">
        <f>UPPER(LEFT(TRIM(D155),2))</f>
        <v>TX</v>
      </c>
      <c r="M155" t="str">
        <f>IF(OR(UPPER(E155)="UNITED STATES",UPPER(E155)="UNITED STATES OF AMERICA",UPPER(E155)="US",UPPER(E155)="USA"),"USA",E155)</f>
        <v>USA</v>
      </c>
      <c r="N155" t="str" cm="1">
        <f t="array" ref="N155">_xlfn.REGEXEXTRACT(F155,"\d{5}")</f>
        <v>77063</v>
      </c>
    </row>
    <row r="156" spans="1:14" ht="36" x14ac:dyDescent="0.15">
      <c r="A156" s="2" t="s">
        <v>893</v>
      </c>
      <c r="B156" s="2" t="s">
        <v>894</v>
      </c>
      <c r="C156" s="2" t="s">
        <v>29</v>
      </c>
      <c r="D156" s="2" t="s">
        <v>20</v>
      </c>
      <c r="E156" s="2" t="s">
        <v>10</v>
      </c>
      <c r="F156" s="2" t="s">
        <v>895</v>
      </c>
      <c r="G156" s="2"/>
      <c r="H156" s="2"/>
      <c r="I156" s="2" t="str">
        <f>TRIM(CLEAN(SUBSTITUTE(A156,CHAR(10)," ")))</f>
        <v>Al Aqsa International Groceries</v>
      </c>
      <c r="J156" s="2" t="str">
        <f>TRIM(CLEAN(SUBSTITUTE(B156,CHAR(10)," ")))</f>
        <v>2802 Old Spanish Trail</v>
      </c>
      <c r="K156" s="3" t="str">
        <f>PROPER(TRIM(C156))</f>
        <v>Houston</v>
      </c>
      <c r="L156" t="str">
        <f>UPPER(LEFT(TRIM(D156),2))</f>
        <v>TX</v>
      </c>
      <c r="M156" t="str">
        <f>IF(OR(UPPER(E156)="UNITED STATES",UPPER(E156)="UNITED STATES OF AMERICA",UPPER(E156)="US",UPPER(E156)="USA"),"USA",E156)</f>
        <v>USA</v>
      </c>
      <c r="N156" t="str" cm="1">
        <f t="array" ref="N156">_xlfn.REGEXEXTRACT(F156,"\d{5}")</f>
        <v>77054</v>
      </c>
    </row>
    <row r="157" spans="1:14" ht="36" x14ac:dyDescent="0.15">
      <c r="A157" s="2" t="s">
        <v>789</v>
      </c>
      <c r="B157" s="2" t="s">
        <v>790</v>
      </c>
      <c r="C157" s="2" t="s">
        <v>668</v>
      </c>
      <c r="D157" s="2" t="s">
        <v>20</v>
      </c>
      <c r="E157" s="2" t="s">
        <v>10</v>
      </c>
      <c r="F157" s="2" t="s">
        <v>765</v>
      </c>
      <c r="G157" s="2"/>
      <c r="H157" s="2"/>
      <c r="I157" s="2" t="str">
        <f>TRIM(CLEAN(SUBSTITUTE(A157,CHAR(10)," ")))</f>
        <v>GARSON</v>
      </c>
      <c r="J157" s="2" t="str">
        <f>TRIM(CLEAN(SUBSTITUTE(B157,CHAR(10)," ")))</f>
        <v>2926 Hillcroft Ave, Houston, TX 77057</v>
      </c>
      <c r="K157" s="3" t="str">
        <f>PROPER(TRIM(C157))</f>
        <v>Houston</v>
      </c>
      <c r="L157" t="str">
        <f>UPPER(LEFT(TRIM(D157),2))</f>
        <v>TX</v>
      </c>
      <c r="M157" t="str">
        <f>IF(OR(UPPER(E157)="UNITED STATES",UPPER(E157)="UNITED STATES OF AMERICA",UPPER(E157)="US",UPPER(E157)="USA"),"USA",E157)</f>
        <v>USA</v>
      </c>
      <c r="N157" t="str" cm="1">
        <f t="array" ref="N157">_xlfn.REGEXEXTRACT(F157,"\d{5}")</f>
        <v>77057</v>
      </c>
    </row>
    <row r="158" spans="1:14" ht="36" x14ac:dyDescent="0.15">
      <c r="A158" s="2" t="s">
        <v>967</v>
      </c>
      <c r="B158" s="2" t="s">
        <v>968</v>
      </c>
      <c r="C158" s="2" t="s">
        <v>29</v>
      </c>
      <c r="D158" s="2" t="s">
        <v>20</v>
      </c>
      <c r="E158" s="2" t="s">
        <v>10</v>
      </c>
      <c r="F158" s="2" t="s">
        <v>733</v>
      </c>
      <c r="G158" s="2"/>
      <c r="H158" s="2"/>
      <c r="I158" s="2" t="str">
        <f>TRIM(CLEAN(SUBSTITUTE(A158,CHAR(10)," ")))</f>
        <v>Golden Roastery (Noah)</v>
      </c>
      <c r="J158" s="2" t="str">
        <f>TRIM(CLEAN(SUBSTITUTE(B158,CHAR(10)," ")))</f>
        <v>3111 Fondren Rd</v>
      </c>
      <c r="K158" s="3" t="str">
        <f>PROPER(TRIM(C158))</f>
        <v>Houston</v>
      </c>
      <c r="L158" t="str">
        <f>UPPER(LEFT(TRIM(D158),2))</f>
        <v>TX</v>
      </c>
      <c r="M158" t="str">
        <f>IF(OR(UPPER(E158)="UNITED STATES",UPPER(E158)="UNITED STATES OF AMERICA",UPPER(E158)="US",UPPER(E158)="USA"),"USA",E158)</f>
        <v>USA</v>
      </c>
      <c r="N158" t="str" cm="1">
        <f t="array" ref="N158">_xlfn.REGEXEXTRACT(F158,"\d{5}")</f>
        <v>77063</v>
      </c>
    </row>
    <row r="159" spans="1:14" ht="36" x14ac:dyDescent="0.15">
      <c r="A159" s="2" t="s">
        <v>800</v>
      </c>
      <c r="B159" s="2" t="s">
        <v>801</v>
      </c>
      <c r="C159" s="2" t="s">
        <v>29</v>
      </c>
      <c r="D159" s="2" t="s">
        <v>20</v>
      </c>
      <c r="E159" s="2" t="s">
        <v>152</v>
      </c>
      <c r="F159" s="2" t="s">
        <v>802</v>
      </c>
      <c r="G159" s="2"/>
      <c r="H159" s="2"/>
      <c r="I159" s="2" t="str">
        <f>TRIM(CLEAN(SUBSTITUTE(A159,CHAR(10)," ")))</f>
        <v>Harmony school of technology</v>
      </c>
      <c r="J159" s="2" t="str">
        <f>TRIM(CLEAN(SUBSTITUTE(B159,CHAR(10)," ")))</f>
        <v>3203 N Sam Houston Pkwy W</v>
      </c>
      <c r="K159" s="3" t="str">
        <f>PROPER(TRIM(C159))</f>
        <v>Houston</v>
      </c>
      <c r="L159" t="str">
        <f>UPPER(LEFT(TRIM(D159),2))</f>
        <v>TX</v>
      </c>
      <c r="M159" t="str">
        <f>IF(OR(UPPER(E159)="UNITED STATES",UPPER(E159)="UNITED STATES OF AMERICA",UPPER(E159)="US",UPPER(E159)="USA"),"USA",E159)</f>
        <v>USA</v>
      </c>
      <c r="N159" t="str" cm="1">
        <f t="array" ref="N159">_xlfn.REGEXEXTRACT(F159,"\d{5}")</f>
        <v>77038</v>
      </c>
    </row>
    <row r="160" spans="1:14" ht="36" x14ac:dyDescent="0.15">
      <c r="A160" s="2" t="s">
        <v>898</v>
      </c>
      <c r="B160" s="2" t="s">
        <v>899</v>
      </c>
      <c r="C160" s="2" t="s">
        <v>29</v>
      </c>
      <c r="D160" s="2" t="s">
        <v>402</v>
      </c>
      <c r="E160" s="2" t="s">
        <v>10</v>
      </c>
      <c r="F160" s="2" t="s">
        <v>765</v>
      </c>
      <c r="G160" s="2"/>
      <c r="H160" s="2"/>
      <c r="I160" s="2" t="str">
        <f>TRIM(CLEAN(SUBSTITUTE(A160,CHAR(10)," ")))</f>
        <v>Almadina International Supermarket</v>
      </c>
      <c r="J160" s="2" t="str">
        <f>TRIM(CLEAN(SUBSTITUTE(B160,CHAR(10)," ")))</f>
        <v>3210 Hillcroft St</v>
      </c>
      <c r="K160" s="3" t="str">
        <f>PROPER(TRIM(C160))</f>
        <v>Houston</v>
      </c>
      <c r="L160" t="str">
        <f>UPPER(LEFT(TRIM(D160),2))</f>
        <v>TX</v>
      </c>
      <c r="M160" t="str">
        <f>IF(OR(UPPER(E160)="UNITED STATES",UPPER(E160)="UNITED STATES OF AMERICA",UPPER(E160)="US",UPPER(E160)="USA"),"USA",E160)</f>
        <v>USA</v>
      </c>
      <c r="N160" t="str" cm="1">
        <f t="array" ref="N160">_xlfn.REGEXEXTRACT(F160,"\d{5}")</f>
        <v>77057</v>
      </c>
    </row>
    <row r="161" spans="1:14" ht="36" x14ac:dyDescent="0.15">
      <c r="A161" s="2" t="s">
        <v>927</v>
      </c>
      <c r="B161" s="2" t="s">
        <v>928</v>
      </c>
      <c r="C161" s="2" t="s">
        <v>29</v>
      </c>
      <c r="D161" s="2" t="s">
        <v>20</v>
      </c>
      <c r="E161" s="2" t="s">
        <v>10</v>
      </c>
      <c r="F161" s="2" t="s">
        <v>753</v>
      </c>
      <c r="G161" s="2"/>
      <c r="H161" s="2"/>
      <c r="I161" s="2" t="str">
        <f>TRIM(CLEAN(SUBSTITUTE(A161,CHAR(10)," ")))</f>
        <v>Beans Up Coffee-Westpark</v>
      </c>
      <c r="J161" s="2" t="str">
        <f>TRIM(CLEAN(SUBSTITUTE(B161,CHAR(10)," ")))</f>
        <v>3306 Hwy 6 South Suite 300</v>
      </c>
      <c r="K161" s="3" t="str">
        <f>PROPER(TRIM(C161))</f>
        <v>Houston</v>
      </c>
      <c r="L161" t="str">
        <f>UPPER(LEFT(TRIM(D161),2))</f>
        <v>TX</v>
      </c>
      <c r="M161" t="str">
        <f>IF(OR(UPPER(E161)="UNITED STATES",UPPER(E161)="UNITED STATES OF AMERICA",UPPER(E161)="US",UPPER(E161)="USA"),"USA",E161)</f>
        <v>USA</v>
      </c>
      <c r="N161" t="str" cm="1">
        <f t="array" ref="N161">_xlfn.REGEXEXTRACT(F161,"\d{5}")</f>
        <v>77082</v>
      </c>
    </row>
    <row r="162" spans="1:14" ht="36" x14ac:dyDescent="0.15">
      <c r="A162" s="2" t="s">
        <v>751</v>
      </c>
      <c r="B162" s="2" t="s">
        <v>752</v>
      </c>
      <c r="C162" s="2" t="s">
        <v>29</v>
      </c>
      <c r="D162" s="2" t="s">
        <v>20</v>
      </c>
      <c r="E162" s="2" t="s">
        <v>10</v>
      </c>
      <c r="F162" s="2" t="s">
        <v>753</v>
      </c>
      <c r="G162" s="2"/>
      <c r="H162" s="2"/>
      <c r="I162" s="2" t="str">
        <f>TRIM(CLEAN(SUBSTITUTE(A162,CHAR(10)," ")))</f>
        <v>As salaam meat</v>
      </c>
      <c r="J162" s="2" t="str">
        <f>TRIM(CLEAN(SUBSTITUTE(B162,CHAR(10)," ")))</f>
        <v>3418 higway 6 south 183</v>
      </c>
      <c r="K162" s="3" t="str">
        <f>PROPER(TRIM(C162))</f>
        <v>Houston</v>
      </c>
      <c r="L162" t="str">
        <f>UPPER(LEFT(TRIM(D162),2))</f>
        <v>TX</v>
      </c>
      <c r="M162" t="str">
        <f>IF(OR(UPPER(E162)="UNITED STATES",UPPER(E162)="UNITED STATES OF AMERICA",UPPER(E162)="US",UPPER(E162)="USA"),"USA",E162)</f>
        <v>USA</v>
      </c>
      <c r="N162" t="str" cm="1">
        <f t="array" ref="N162">_xlfn.REGEXEXTRACT(F162,"\d{5}")</f>
        <v>77082</v>
      </c>
    </row>
    <row r="163" spans="1:14" ht="60" x14ac:dyDescent="0.15">
      <c r="A163" s="2" t="s">
        <v>827</v>
      </c>
      <c r="B163" s="2" t="s">
        <v>828</v>
      </c>
      <c r="C163" s="2" t="s">
        <v>29</v>
      </c>
      <c r="D163" s="2" t="s">
        <v>20</v>
      </c>
      <c r="E163" s="2" t="s">
        <v>10</v>
      </c>
      <c r="F163" s="2" t="s">
        <v>829</v>
      </c>
      <c r="G163" s="2"/>
      <c r="H163" s="2"/>
      <c r="I163" s="2" t="str">
        <f>TRIM(CLEAN(SUBSTITUTE(A163,CHAR(10)," ")))</f>
        <v>Mean Grille</v>
      </c>
      <c r="J163" s="2" t="str">
        <f>TRIM(CLEAN(SUBSTITUTE(B163,CHAR(10)," ")))</f>
        <v>3995 Richmond Ave. Suite B, Houston, TX 77027</v>
      </c>
      <c r="K163" s="3" t="str">
        <f>PROPER(TRIM(C163))</f>
        <v>Houston</v>
      </c>
      <c r="L163" t="str">
        <f>UPPER(LEFT(TRIM(D163),2))</f>
        <v>TX</v>
      </c>
      <c r="M163" t="str">
        <f>IF(OR(UPPER(E163)="UNITED STATES",UPPER(E163)="UNITED STATES OF AMERICA",UPPER(E163)="US",UPPER(E163)="USA"),"USA",E163)</f>
        <v>USA</v>
      </c>
      <c r="N163" t="str" cm="1">
        <f t="array" ref="N163">_xlfn.REGEXEXTRACT(F163,"\d{5}")</f>
        <v>77027</v>
      </c>
    </row>
    <row r="164" spans="1:14" ht="36" x14ac:dyDescent="0.15">
      <c r="A164" s="2" t="s">
        <v>784</v>
      </c>
      <c r="B164" s="2" t="s">
        <v>785</v>
      </c>
      <c r="C164" s="2" t="s">
        <v>29</v>
      </c>
      <c r="D164" s="2" t="s">
        <v>20</v>
      </c>
      <c r="E164" s="2"/>
      <c r="F164" s="2" t="s">
        <v>786</v>
      </c>
      <c r="G164" s="2"/>
      <c r="H164" s="2"/>
      <c r="I164" s="2" t="str">
        <f>TRIM(CLEAN(SUBSTITUTE(A164,CHAR(10)," ")))</f>
        <v>Express Fuel</v>
      </c>
      <c r="J164" s="2" t="str">
        <f>TRIM(CLEAN(SUBSTITUTE(B164,CHAR(10)," ")))</f>
        <v>4805 Galveston Road</v>
      </c>
      <c r="K164" s="3" t="str">
        <f>PROPER(TRIM(C164))</f>
        <v>Houston</v>
      </c>
      <c r="L164" t="str">
        <f>UPPER(LEFT(TRIM(D164),2))</f>
        <v>TX</v>
      </c>
      <c r="M164">
        <f>IF(OR(UPPER(E164)="UNITED STATES",UPPER(E164)="UNITED STATES OF AMERICA",UPPER(E164)="US",UPPER(E164)="USA"),"USA",E164)</f>
        <v>0</v>
      </c>
      <c r="N164" t="str" cm="1">
        <f t="array" ref="N164">_xlfn.REGEXEXTRACT(F164,"\d{5}")</f>
        <v>77017</v>
      </c>
    </row>
    <row r="165" spans="1:14" ht="36" x14ac:dyDescent="0.15">
      <c r="A165" s="2" t="s">
        <v>1063</v>
      </c>
      <c r="B165" s="2" t="s">
        <v>1064</v>
      </c>
      <c r="C165" s="2" t="s">
        <v>29</v>
      </c>
      <c r="D165" s="2" t="s">
        <v>20</v>
      </c>
      <c r="E165" s="2"/>
      <c r="F165" s="2" t="s">
        <v>1036</v>
      </c>
      <c r="G165" s="2"/>
      <c r="H165" s="2"/>
      <c r="I165" s="2" t="str">
        <f>TRIM(CLEAN(SUBSTITUTE(A165,CHAR(10)," ")))</f>
        <v>sultan pepper-Galleria Mall</v>
      </c>
      <c r="J165" s="2" t="str">
        <f>TRIM(CLEAN(SUBSTITUTE(B165,CHAR(10)," ")))</f>
        <v>5015 Westheimer Rd</v>
      </c>
      <c r="K165" s="3" t="str">
        <f>PROPER(TRIM(C165))</f>
        <v>Houston</v>
      </c>
      <c r="L165" t="str">
        <f>UPPER(LEFT(TRIM(D165),2))</f>
        <v>TX</v>
      </c>
      <c r="M165">
        <f>IF(OR(UPPER(E165)="UNITED STATES",UPPER(E165)="UNITED STATES OF AMERICA",UPPER(E165)="US",UPPER(E165)="USA"),"USA",E165)</f>
        <v>0</v>
      </c>
      <c r="N165" t="str" cm="1">
        <f t="array" ref="N165">_xlfn.REGEXEXTRACT(F165,"\d{5}")</f>
        <v>77056</v>
      </c>
    </row>
    <row r="166" spans="1:14" ht="48" x14ac:dyDescent="0.15">
      <c r="A166" s="2" t="s">
        <v>150</v>
      </c>
      <c r="B166" s="2" t="s">
        <v>151</v>
      </c>
      <c r="C166" s="2" t="s">
        <v>29</v>
      </c>
      <c r="D166" s="2" t="s">
        <v>102</v>
      </c>
      <c r="E166" s="2" t="s">
        <v>152</v>
      </c>
      <c r="F166" s="2" t="s">
        <v>153</v>
      </c>
      <c r="G166" s="2"/>
      <c r="H166" s="2"/>
      <c r="I166" s="2" t="str">
        <f>TRIM(CLEAN(SUBSTITUTE(A166,CHAR(10)," ")))</f>
        <v>Try Before You Buy – Cheese Samples</v>
      </c>
      <c r="J166" s="2" t="str">
        <f>TRIM(CLEAN(SUBSTITUTE(B166,CHAR(10)," ")))</f>
        <v>5072 Steadmont dr</v>
      </c>
      <c r="K166" s="3" t="str">
        <f>PROPER(TRIM(C166))</f>
        <v>Houston</v>
      </c>
      <c r="L166" s="8" t="s">
        <v>20</v>
      </c>
      <c r="M166" t="str">
        <f>IF(OR(UPPER(E166)="UNITED STATES",UPPER(E166)="UNITED STATES OF AMERICA",UPPER(E166)="US",UPPER(E166)="USA"),"USA",E166)</f>
        <v>USA</v>
      </c>
      <c r="N166" t="str" cm="1">
        <f t="array" ref="N166">_xlfn.REGEXEXTRACT(F166,"\d{5}")</f>
        <v>77040</v>
      </c>
    </row>
    <row r="167" spans="1:14" ht="48" x14ac:dyDescent="0.15">
      <c r="A167" s="2" t="s">
        <v>1034</v>
      </c>
      <c r="B167" s="2" t="s">
        <v>1035</v>
      </c>
      <c r="C167" s="2" t="s">
        <v>29</v>
      </c>
      <c r="D167" s="2" t="s">
        <v>20</v>
      </c>
      <c r="E167" s="2" t="s">
        <v>10</v>
      </c>
      <c r="F167" s="2" t="s">
        <v>1036</v>
      </c>
      <c r="G167" s="2"/>
      <c r="H167" s="2"/>
      <c r="I167" s="2" t="str">
        <f>TRIM(CLEAN(SUBSTITUTE(A167,CHAR(10)," ")))</f>
        <v>Noix bakery &amp; Coffee llc</v>
      </c>
      <c r="J167" s="2" t="str">
        <f>TRIM(CLEAN(SUBSTITUTE(B167,CHAR(10)," ")))</f>
        <v>5085 Westheimer road Suite 5058</v>
      </c>
      <c r="K167" s="3" t="str">
        <f>PROPER(TRIM(C167))</f>
        <v>Houston</v>
      </c>
      <c r="L167" t="str">
        <f>UPPER(LEFT(TRIM(D167),2))</f>
        <v>TX</v>
      </c>
      <c r="M167" t="str">
        <f>IF(OR(UPPER(E167)="UNITED STATES",UPPER(E167)="UNITED STATES OF AMERICA",UPPER(E167)="US",UPPER(E167)="USA"),"USA",E167)</f>
        <v>USA</v>
      </c>
      <c r="N167" t="str" cm="1">
        <f t="array" ref="N167">_xlfn.REGEXEXTRACT(F167,"\d{5}")</f>
        <v>77056</v>
      </c>
    </row>
    <row r="168" spans="1:14" ht="24" x14ac:dyDescent="0.15">
      <c r="A168" s="2" t="s">
        <v>791</v>
      </c>
      <c r="B168" s="2" t="s">
        <v>792</v>
      </c>
      <c r="C168" s="2" t="s">
        <v>29</v>
      </c>
      <c r="D168" s="2" t="s">
        <v>20</v>
      </c>
      <c r="E168" s="2" t="s">
        <v>152</v>
      </c>
      <c r="F168" s="2" t="s">
        <v>30</v>
      </c>
      <c r="G168" s="2"/>
      <c r="H168" s="2"/>
      <c r="I168" s="2" t="str">
        <f>TRIM(CLEAN(SUBSTITUTE(A168,CHAR(10)," ")))</f>
        <v>Global Halal Supermarket</v>
      </c>
      <c r="J168" s="2" t="str">
        <f>TRIM(CLEAN(SUBSTITUTE(B168,CHAR(10)," ")))</f>
        <v>5604 Hillcroft St</v>
      </c>
      <c r="K168" s="3" t="str">
        <f>PROPER(TRIM(C168))</f>
        <v>Houston</v>
      </c>
      <c r="L168" t="str">
        <f>UPPER(LEFT(TRIM(D168),2))</f>
        <v>TX</v>
      </c>
      <c r="M168" t="str">
        <f>IF(OR(UPPER(E168)="UNITED STATES",UPPER(E168)="UNITED STATES OF AMERICA",UPPER(E168)="US",UPPER(E168)="USA"),"USA",E168)</f>
        <v>USA</v>
      </c>
      <c r="N168" t="str" cm="1">
        <f t="array" ref="N168">_xlfn.REGEXEXTRACT(F168,"\d{5}")</f>
        <v>77036</v>
      </c>
    </row>
    <row r="169" spans="1:14" ht="48" x14ac:dyDescent="0.15">
      <c r="A169" s="2" t="s">
        <v>27</v>
      </c>
      <c r="B169" s="2" t="s">
        <v>28</v>
      </c>
      <c r="C169" s="2" t="s">
        <v>29</v>
      </c>
      <c r="D169" s="2" t="s">
        <v>20</v>
      </c>
      <c r="E169" s="2" t="s">
        <v>10</v>
      </c>
      <c r="F169" s="2" t="s">
        <v>30</v>
      </c>
      <c r="G169" s="2"/>
      <c r="H169" s="2"/>
      <c r="I169" s="2" t="str">
        <f>TRIM(CLEAN(SUBSTITUTE(A169,CHAR(10)," ")))</f>
        <v>AAA Wholesale Supply (HOUSTON)</v>
      </c>
      <c r="J169" s="2" t="str">
        <f>TRIM(CLEAN(SUBSTITUTE(B169,CHAR(10)," ")))</f>
        <v>5615 Savoy Dr Unit A</v>
      </c>
      <c r="K169" s="3" t="str">
        <f>PROPER(TRIM(C169))</f>
        <v>Houston</v>
      </c>
      <c r="L169" t="str">
        <f>UPPER(LEFT(TRIM(D169),2))</f>
        <v>TX</v>
      </c>
      <c r="M169" t="str">
        <f>IF(OR(UPPER(E169)="UNITED STATES",UPPER(E169)="UNITED STATES OF AMERICA",UPPER(E169)="US",UPPER(E169)="USA"),"USA",E169)</f>
        <v>USA</v>
      </c>
      <c r="N169" t="str" cm="1">
        <f t="array" ref="N169">_xlfn.REGEXEXTRACT(F169,"\d{5}")</f>
        <v>77036</v>
      </c>
    </row>
    <row r="170" spans="1:14" ht="24" x14ac:dyDescent="0.15">
      <c r="A170" s="2" t="s">
        <v>766</v>
      </c>
      <c r="B170" s="2" t="s">
        <v>767</v>
      </c>
      <c r="C170" s="2" t="s">
        <v>29</v>
      </c>
      <c r="D170" s="2" t="s">
        <v>20</v>
      </c>
      <c r="E170" s="2" t="s">
        <v>10</v>
      </c>
      <c r="F170" s="2" t="s">
        <v>30</v>
      </c>
      <c r="G170" s="2"/>
      <c r="H170" s="2"/>
      <c r="I170" s="2" t="str">
        <f>TRIM(CLEAN(SUBSTITUTE(A170,CHAR(10)," ")))</f>
        <v>Choice Novelties Inc</v>
      </c>
      <c r="J170" s="2" t="str">
        <f>TRIM(CLEAN(SUBSTITUTE(B170,CHAR(10)," ")))</f>
        <v>5700 Braxton Dr STE 101</v>
      </c>
      <c r="K170" s="3" t="str">
        <f>PROPER(TRIM(C170))</f>
        <v>Houston</v>
      </c>
      <c r="L170" t="str">
        <f>UPPER(LEFT(TRIM(D170),2))</f>
        <v>TX</v>
      </c>
      <c r="M170" t="str">
        <f>IF(OR(UPPER(E170)="UNITED STATES",UPPER(E170)="UNITED STATES OF AMERICA",UPPER(E170)="US",UPPER(E170)="USA"),"USA",E170)</f>
        <v>USA</v>
      </c>
      <c r="N170" t="str" cm="1">
        <f t="array" ref="N170">_xlfn.REGEXEXTRACT(F170,"\d{5}")</f>
        <v>77036</v>
      </c>
    </row>
    <row r="171" spans="1:14" ht="36" x14ac:dyDescent="0.15">
      <c r="A171" s="2" t="s">
        <v>1065</v>
      </c>
      <c r="B171" s="2" t="s">
        <v>1066</v>
      </c>
      <c r="C171" s="2" t="s">
        <v>29</v>
      </c>
      <c r="D171" s="2" t="s">
        <v>20</v>
      </c>
      <c r="E171" s="2"/>
      <c r="F171" s="2" t="s">
        <v>765</v>
      </c>
      <c r="G171" s="2"/>
      <c r="H171" s="2"/>
      <c r="I171" s="2" t="str">
        <f>TRIM(CLEAN(SUBSTITUTE(A171,CHAR(10)," ")))</f>
        <v>The Butcher's Grille - Houston</v>
      </c>
      <c r="J171" s="2" t="str">
        <f>TRIM(CLEAN(SUBSTITUTE(B171,CHAR(10)," ")))</f>
        <v>5740 San Felipe St #100</v>
      </c>
      <c r="K171" s="3" t="str">
        <f>PROPER(TRIM(C171))</f>
        <v>Houston</v>
      </c>
      <c r="L171" t="str">
        <f>UPPER(LEFT(TRIM(D171),2))</f>
        <v>TX</v>
      </c>
      <c r="M171">
        <f>IF(OR(UPPER(E171)="UNITED STATES",UPPER(E171)="UNITED STATES OF AMERICA",UPPER(E171)="US",UPPER(E171)="USA"),"USA",E171)</f>
        <v>0</v>
      </c>
      <c r="N171" t="str" cm="1">
        <f t="array" ref="N171">_xlfn.REGEXEXTRACT(F171,"\d{5}")</f>
        <v>77057</v>
      </c>
    </row>
    <row r="172" spans="1:14" ht="24" x14ac:dyDescent="0.15">
      <c r="A172" s="2" t="s">
        <v>666</v>
      </c>
      <c r="B172" s="2" t="s">
        <v>667</v>
      </c>
      <c r="C172" s="2" t="s">
        <v>668</v>
      </c>
      <c r="D172" s="2" t="s">
        <v>20</v>
      </c>
      <c r="E172" s="2" t="s">
        <v>10</v>
      </c>
      <c r="F172" s="2" t="s">
        <v>30</v>
      </c>
      <c r="G172" s="2"/>
      <c r="H172" s="2"/>
      <c r="I172" s="2" t="str">
        <f>TRIM(CLEAN(SUBSTITUTE(A172,CHAR(10)," ")))</f>
        <v>E.K. PERFUMES</v>
      </c>
      <c r="J172" s="2" t="str">
        <f>TRIM(CLEAN(SUBSTITUTE(B172,CHAR(10)," ")))</f>
        <v>5810 Hillcroft ST</v>
      </c>
      <c r="K172" s="3" t="str">
        <f>PROPER(TRIM(C172))</f>
        <v>Houston</v>
      </c>
      <c r="L172" t="str">
        <f>UPPER(LEFT(TRIM(D172),2))</f>
        <v>TX</v>
      </c>
      <c r="M172" t="str">
        <f>IF(OR(UPPER(E172)="UNITED STATES",UPPER(E172)="UNITED STATES OF AMERICA",UPPER(E172)="US",UPPER(E172)="USA"),"USA",E172)</f>
        <v>USA</v>
      </c>
      <c r="N172" t="str" cm="1">
        <f t="array" ref="N172">_xlfn.REGEXEXTRACT(F172,"\d{5}")</f>
        <v>77036</v>
      </c>
    </row>
    <row r="173" spans="1:14" ht="48" x14ac:dyDescent="0.15">
      <c r="A173" s="2" t="s">
        <v>763</v>
      </c>
      <c r="B173" s="2" t="s">
        <v>764</v>
      </c>
      <c r="C173" s="2" t="s">
        <v>29</v>
      </c>
      <c r="D173" s="2" t="s">
        <v>20</v>
      </c>
      <c r="E173" s="2"/>
      <c r="F173" s="2" t="s">
        <v>765</v>
      </c>
      <c r="G173" s="2"/>
      <c r="H173" s="2"/>
      <c r="I173" s="2" t="str">
        <f>TRIM(CLEAN(SUBSTITUTE(A173,CHAR(10)," ")))</f>
        <v>Chama Gaúcha Brazilian Steakhouse</v>
      </c>
      <c r="J173" s="2" t="str">
        <f>TRIM(CLEAN(SUBSTITUTE(B173,CHAR(10)," ")))</f>
        <v>5865 Westheimer Rd,</v>
      </c>
      <c r="K173" s="3" t="str">
        <f>PROPER(TRIM(C173))</f>
        <v>Houston</v>
      </c>
      <c r="L173" t="str">
        <f>UPPER(LEFT(TRIM(D173),2))</f>
        <v>TX</v>
      </c>
      <c r="M173">
        <f>IF(OR(UPPER(E173)="UNITED STATES",UPPER(E173)="UNITED STATES OF AMERICA",UPPER(E173)="US",UPPER(E173)="USA"),"USA",E173)</f>
        <v>0</v>
      </c>
      <c r="N173" t="str" cm="1">
        <f t="array" ref="N173">_xlfn.REGEXEXTRACT(F173,"\d{5}")</f>
        <v>77057</v>
      </c>
    </row>
    <row r="174" spans="1:14" ht="24" x14ac:dyDescent="0.15">
      <c r="A174" s="2" t="s">
        <v>862</v>
      </c>
      <c r="B174" s="2" t="s">
        <v>863</v>
      </c>
      <c r="C174" s="2" t="s">
        <v>173</v>
      </c>
      <c r="D174" s="2" t="s">
        <v>20</v>
      </c>
      <c r="E174" s="2"/>
      <c r="F174" s="2" t="s">
        <v>864</v>
      </c>
      <c r="G174" s="2"/>
      <c r="H174" s="2"/>
      <c r="I174" s="2" t="str">
        <f>TRIM(CLEAN(SUBSTITUTE(A174,CHAR(10)," ")))</f>
        <v>Time piza</v>
      </c>
      <c r="J174" s="2" t="str">
        <f>TRIM(CLEAN(SUBSTITUTE(B174,CHAR(10)," ")))</f>
        <v>6001 Hillcroft st: ste 300</v>
      </c>
      <c r="K174" s="3" t="str">
        <f>PROPER(TRIM(C174))</f>
        <v>Houston</v>
      </c>
      <c r="L174" t="str">
        <f>UPPER(LEFT(TRIM(D174),2))</f>
        <v>TX</v>
      </c>
      <c r="M174">
        <f>IF(OR(UPPER(E174)="UNITED STATES",UPPER(E174)="UNITED STATES OF AMERICA",UPPER(E174)="US",UPPER(E174)="USA"),"USA",E174)</f>
        <v>0</v>
      </c>
      <c r="N174" t="str" cm="1">
        <f t="array" ref="N174">_xlfn.REGEXEXTRACT(F174,"\d{5}")</f>
        <v>77081</v>
      </c>
    </row>
    <row r="175" spans="1:14" ht="36" x14ac:dyDescent="0.15">
      <c r="A175" s="2" t="s">
        <v>938</v>
      </c>
      <c r="B175" s="2" t="s">
        <v>939</v>
      </c>
      <c r="C175" s="2" t="s">
        <v>29</v>
      </c>
      <c r="D175" s="2" t="s">
        <v>20</v>
      </c>
      <c r="E175" s="2" t="s">
        <v>10</v>
      </c>
      <c r="F175" s="2" t="s">
        <v>765</v>
      </c>
      <c r="G175" s="2"/>
      <c r="H175" s="2"/>
      <c r="I175" s="2" t="str">
        <f>TRIM(CLEAN(SUBSTITUTE(A175,CHAR(10)," ")))</f>
        <v>Chocolatzeina</v>
      </c>
      <c r="J175" s="2" t="str">
        <f>TRIM(CLEAN(SUBSTITUTE(B175,CHAR(10)," ")))</f>
        <v>6100 Westeimer Rd</v>
      </c>
      <c r="K175" s="3" t="str">
        <f>PROPER(TRIM(C175))</f>
        <v>Houston</v>
      </c>
      <c r="L175" t="str">
        <f>UPPER(LEFT(TRIM(D175),2))</f>
        <v>TX</v>
      </c>
      <c r="M175" t="str">
        <f>IF(OR(UPPER(E175)="UNITED STATES",UPPER(E175)="UNITED STATES OF AMERICA",UPPER(E175)="US",UPPER(E175)="USA"),"USA",E175)</f>
        <v>USA</v>
      </c>
      <c r="N175" t="str" cm="1">
        <f t="array" ref="N175">_xlfn.REGEXEXTRACT(F175,"\d{5}")</f>
        <v>77057</v>
      </c>
    </row>
    <row r="176" spans="1:14" ht="36" x14ac:dyDescent="0.15">
      <c r="A176" s="2" t="s">
        <v>1011</v>
      </c>
      <c r="B176" s="2" t="s">
        <v>1012</v>
      </c>
      <c r="C176" s="2" t="s">
        <v>29</v>
      </c>
      <c r="D176" s="2" t="s">
        <v>20</v>
      </c>
      <c r="E176" s="2" t="s">
        <v>10</v>
      </c>
      <c r="F176" s="2" t="s">
        <v>765</v>
      </c>
      <c r="G176" s="2"/>
      <c r="H176" s="2"/>
      <c r="I176" s="2" t="str">
        <f>TRIM(CLEAN(SUBSTITUTE(A176,CHAR(10)," ")))</f>
        <v>Mezza Grille</v>
      </c>
      <c r="J176" s="2" t="str">
        <f>TRIM(CLEAN(SUBSTITUTE(B176,CHAR(10)," ")))</f>
        <v>6100 Westheimer Rd Suite 154</v>
      </c>
      <c r="K176" s="3" t="str">
        <f>PROPER(TRIM(C176))</f>
        <v>Houston</v>
      </c>
      <c r="L176" t="str">
        <f>UPPER(LEFT(TRIM(D176),2))</f>
        <v>TX</v>
      </c>
      <c r="M176" t="str">
        <f>IF(OR(UPPER(E176)="UNITED STATES",UPPER(E176)="UNITED STATES OF AMERICA",UPPER(E176)="US",UPPER(E176)="USA"),"USA",E176)</f>
        <v>USA</v>
      </c>
      <c r="N176" t="str" cm="1">
        <f t="array" ref="N176">_xlfn.REGEXEXTRACT(F176,"\d{5}")</f>
        <v>77057</v>
      </c>
    </row>
    <row r="177" spans="1:14" ht="36" x14ac:dyDescent="0.15">
      <c r="A177" s="2" t="s">
        <v>954</v>
      </c>
      <c r="B177" s="2" t="s">
        <v>955</v>
      </c>
      <c r="C177" s="2" t="s">
        <v>29</v>
      </c>
      <c r="D177" s="2" t="s">
        <v>20</v>
      </c>
      <c r="E177" s="2" t="s">
        <v>10</v>
      </c>
      <c r="F177" s="2" t="s">
        <v>765</v>
      </c>
      <c r="G177" s="2"/>
      <c r="H177" s="2"/>
      <c r="I177" s="2" t="str">
        <f>TRIM(CLEAN(SUBSTITUTE(A177,CHAR(10)," ")))</f>
        <v>Fadi's - Galleria</v>
      </c>
      <c r="J177" s="2" t="str">
        <f>TRIM(CLEAN(SUBSTITUTE(B177,CHAR(10)," ")))</f>
        <v>6365 Westheimer Rd</v>
      </c>
      <c r="K177" s="3" t="str">
        <f>PROPER(TRIM(C177))</f>
        <v>Houston</v>
      </c>
      <c r="L177" t="str">
        <f>UPPER(LEFT(TRIM(D177),2))</f>
        <v>TX</v>
      </c>
      <c r="M177" t="str">
        <f>IF(OR(UPPER(E177)="UNITED STATES",UPPER(E177)="UNITED STATES OF AMERICA",UPPER(E177)="US",UPPER(E177)="USA"),"USA",E177)</f>
        <v>USA</v>
      </c>
      <c r="N177" t="str" cm="1">
        <f t="array" ref="N177">_xlfn.REGEXEXTRACT(F177,"\d{5}")</f>
        <v>77057</v>
      </c>
    </row>
    <row r="178" spans="1:14" ht="24" x14ac:dyDescent="0.15">
      <c r="A178" s="2" t="s">
        <v>813</v>
      </c>
      <c r="B178" s="2" t="s">
        <v>814</v>
      </c>
      <c r="C178" s="2" t="s">
        <v>29</v>
      </c>
      <c r="D178" s="2" t="s">
        <v>20</v>
      </c>
      <c r="E178" s="2"/>
      <c r="F178" s="2" t="s">
        <v>30</v>
      </c>
      <c r="G178" s="2"/>
      <c r="H178" s="2"/>
      <c r="I178" s="2" t="str">
        <f>TRIM(CLEAN(SUBSTITUTE(A178,CHAR(10)," ")))</f>
        <v>HAZION LLC</v>
      </c>
      <c r="J178" s="2" t="str">
        <f>TRIM(CLEAN(SUBSTITUTE(B178,CHAR(10)," ")))</f>
        <v>6464 Savoy drive</v>
      </c>
      <c r="K178" s="3" t="str">
        <f>PROPER(TRIM(C178))</f>
        <v>Houston</v>
      </c>
      <c r="L178" t="str">
        <f>UPPER(LEFT(TRIM(D178),2))</f>
        <v>TX</v>
      </c>
      <c r="M178">
        <f>IF(OR(UPPER(E178)="UNITED STATES",UPPER(E178)="UNITED STATES OF AMERICA",UPPER(E178)="US",UPPER(E178)="USA"),"USA",E178)</f>
        <v>0</v>
      </c>
      <c r="N178" t="str" cm="1">
        <f t="array" ref="N178">_xlfn.REGEXEXTRACT(F178,"\d{5}")</f>
        <v>77036</v>
      </c>
    </row>
    <row r="179" spans="1:14" ht="36" x14ac:dyDescent="0.15">
      <c r="A179" s="2" t="s">
        <v>931</v>
      </c>
      <c r="B179" s="2" t="s">
        <v>932</v>
      </c>
      <c r="C179" s="2" t="s">
        <v>29</v>
      </c>
      <c r="D179" s="2" t="s">
        <v>20</v>
      </c>
      <c r="E179" s="2" t="s">
        <v>10</v>
      </c>
      <c r="F179" s="2" t="s">
        <v>933</v>
      </c>
      <c r="G179" s="2"/>
      <c r="H179" s="2"/>
      <c r="I179" s="2" t="str">
        <f>TRIM(CLEAN(SUBSTITUTE(A179,CHAR(10)," ")))</f>
        <v>Beikos Restaurant</v>
      </c>
      <c r="J179" s="2" t="str">
        <f>TRIM(CLEAN(SUBSTITUTE(B179,CHAR(10)," ")))</f>
        <v>6800 Southwest Fwy,</v>
      </c>
      <c r="K179" s="3" t="str">
        <f>PROPER(TRIM(C179))</f>
        <v>Houston</v>
      </c>
      <c r="L179" t="str">
        <f>UPPER(LEFT(TRIM(D179),2))</f>
        <v>TX</v>
      </c>
      <c r="M179" t="str">
        <f>IF(OR(UPPER(E179)="UNITED STATES",UPPER(E179)="UNITED STATES OF AMERICA",UPPER(E179)="US",UPPER(E179)="USA"),"USA",E179)</f>
        <v>USA</v>
      </c>
      <c r="N179" t="str" cm="1">
        <f t="array" ref="N179">_xlfn.REGEXEXTRACT(F179,"\d{5}")</f>
        <v>77074</v>
      </c>
    </row>
    <row r="180" spans="1:14" ht="60" x14ac:dyDescent="0.15">
      <c r="A180" s="2" t="s">
        <v>1376</v>
      </c>
      <c r="B180" s="2" t="s">
        <v>1377</v>
      </c>
      <c r="C180" s="2" t="s">
        <v>29</v>
      </c>
      <c r="D180" s="2" t="s">
        <v>20</v>
      </c>
      <c r="E180" s="2" t="s">
        <v>10</v>
      </c>
      <c r="F180" s="2" t="s">
        <v>933</v>
      </c>
      <c r="G180" s="2"/>
      <c r="H180" s="2"/>
      <c r="I180" s="2" t="str">
        <f>TRIM(CLEAN(SUBSTITUTE(A180,CHAR(10)," ")))</f>
        <v>Texas Jasmine Wholesale</v>
      </c>
      <c r="J180" s="2" t="str">
        <f>TRIM(CLEAN(SUBSTITUTE(B180,CHAR(10)," ")))</f>
        <v>7051 Southwest Fwy, USE DOCK 5 for Delivery</v>
      </c>
      <c r="K180" s="3" t="str">
        <f>PROPER(TRIM(C180))</f>
        <v>Houston</v>
      </c>
      <c r="L180" t="str">
        <f>UPPER(LEFT(TRIM(D180),2))</f>
        <v>TX</v>
      </c>
      <c r="M180" t="str">
        <f>IF(OR(UPPER(E180)="UNITED STATES",UPPER(E180)="UNITED STATES OF AMERICA",UPPER(E180)="US",UPPER(E180)="USA"),"USA",E180)</f>
        <v>USA</v>
      </c>
      <c r="N180" t="str" cm="1">
        <f t="array" ref="N180">_xlfn.REGEXEXTRACT(F180,"\d{5}")</f>
        <v>77074</v>
      </c>
    </row>
    <row r="181" spans="1:14" ht="60" x14ac:dyDescent="0.15">
      <c r="A181" s="2" t="s">
        <v>702</v>
      </c>
      <c r="B181" s="2" t="s">
        <v>703</v>
      </c>
      <c r="C181" s="2" t="s">
        <v>29</v>
      </c>
      <c r="D181" s="2" t="s">
        <v>20</v>
      </c>
      <c r="E181" s="2" t="s">
        <v>10</v>
      </c>
      <c r="F181" s="2" t="s">
        <v>30</v>
      </c>
      <c r="G181" s="2"/>
      <c r="H181" s="2"/>
      <c r="I181" s="2" t="str">
        <f>TRIM(CLEAN(SUBSTITUTE(A181,CHAR(10)," ")))</f>
        <v>GHRA Warehouse and Distribution Center</v>
      </c>
      <c r="J181" s="2" t="str">
        <f>TRIM(CLEAN(SUBSTITUTE(B181,CHAR(10)," ")))</f>
        <v>7110 Bellerive Dr</v>
      </c>
      <c r="K181" s="3" t="str">
        <f>PROPER(TRIM(C181))</f>
        <v>Houston</v>
      </c>
      <c r="L181" t="str">
        <f>UPPER(LEFT(TRIM(D181),2))</f>
        <v>TX</v>
      </c>
      <c r="M181" t="str">
        <f>IF(OR(UPPER(E181)="UNITED STATES",UPPER(E181)="UNITED STATES OF AMERICA",UPPER(E181)="US",UPPER(E181)="USA"),"USA",E181)</f>
        <v>USA</v>
      </c>
      <c r="N181" t="str" cm="1">
        <f t="array" ref="N181">_xlfn.REGEXEXTRACT(F181,"\d{5}")</f>
        <v>77036</v>
      </c>
    </row>
    <row r="182" spans="1:14" ht="36" x14ac:dyDescent="0.15">
      <c r="A182" s="2" t="s">
        <v>1088</v>
      </c>
      <c r="B182" s="2" t="s">
        <v>1089</v>
      </c>
      <c r="C182" s="2" t="s">
        <v>173</v>
      </c>
      <c r="D182" s="2" t="s">
        <v>102</v>
      </c>
      <c r="E182" s="2" t="s">
        <v>10</v>
      </c>
      <c r="F182" s="2" t="s">
        <v>30</v>
      </c>
      <c r="G182" s="2"/>
      <c r="H182" s="2"/>
      <c r="I182" s="2" t="str">
        <f>TRIM(CLEAN(SUBSTITUTE(A182,CHAR(10)," ")))</f>
        <v>HTX wholesale &amp; Distributors</v>
      </c>
      <c r="J182" s="2" t="str">
        <f>TRIM(CLEAN(SUBSTITUTE(B182,CHAR(10)," ")))</f>
        <v>7222 Harwin dr</v>
      </c>
      <c r="K182" s="3" t="str">
        <f>PROPER(TRIM(C182))</f>
        <v>Houston</v>
      </c>
      <c r="L182" s="8" t="s">
        <v>20</v>
      </c>
      <c r="M182" t="str">
        <f>IF(OR(UPPER(E182)="UNITED STATES",UPPER(E182)="UNITED STATES OF AMERICA",UPPER(E182)="US",UPPER(E182)="USA"),"USA",E182)</f>
        <v>USA</v>
      </c>
      <c r="N182" t="str" cm="1">
        <f t="array" ref="N182">_xlfn.REGEXEXTRACT(F182,"\d{5}")</f>
        <v>77036</v>
      </c>
    </row>
    <row r="183" spans="1:14" ht="36" x14ac:dyDescent="0.15">
      <c r="A183" s="2" t="s">
        <v>698</v>
      </c>
      <c r="B183" s="2" t="s">
        <v>699</v>
      </c>
      <c r="C183" s="2" t="s">
        <v>29</v>
      </c>
      <c r="D183" s="2" t="s">
        <v>20</v>
      </c>
      <c r="E183" s="2" t="s">
        <v>10</v>
      </c>
      <c r="F183" s="2" t="s">
        <v>30</v>
      </c>
      <c r="G183" s="2"/>
      <c r="H183" s="2"/>
      <c r="I183" s="2" t="str">
        <f>TRIM(CLEAN(SUBSTITUTE(A183,CHAR(10)," ")))</f>
        <v>Galaxy Wholesale Novelties</v>
      </c>
      <c r="J183" s="2" t="str">
        <f>TRIM(CLEAN(SUBSTITUTE(B183,CHAR(10)," ")))</f>
        <v>7250 Harwin Dr</v>
      </c>
      <c r="K183" s="3" t="str">
        <f>PROPER(TRIM(C183))</f>
        <v>Houston</v>
      </c>
      <c r="L183" t="str">
        <f>UPPER(LEFT(TRIM(D183),2))</f>
        <v>TX</v>
      </c>
      <c r="M183" t="str">
        <f>IF(OR(UPPER(E183)="UNITED STATES",UPPER(E183)="UNITED STATES OF AMERICA",UPPER(E183)="US",UPPER(E183)="USA"),"USA",E183)</f>
        <v>USA</v>
      </c>
      <c r="N183" t="str" cm="1">
        <f t="array" ref="N183">_xlfn.REGEXEXTRACT(F183,"\d{5}")</f>
        <v>77036</v>
      </c>
    </row>
    <row r="184" spans="1:14" ht="24" x14ac:dyDescent="0.15">
      <c r="A184" s="2" t="s">
        <v>838</v>
      </c>
      <c r="B184" s="2" t="s">
        <v>839</v>
      </c>
      <c r="C184" s="2" t="s">
        <v>29</v>
      </c>
      <c r="D184" s="2" t="s">
        <v>20</v>
      </c>
      <c r="E184" s="2" t="s">
        <v>10</v>
      </c>
      <c r="F184" s="2" t="s">
        <v>30</v>
      </c>
      <c r="G184" s="2"/>
      <c r="H184" s="2"/>
      <c r="I184" s="2" t="str">
        <f>TRIM(CLEAN(SUBSTITUTE(A184,CHAR(10)," ")))</f>
        <v>Neptune Imports INC</v>
      </c>
      <c r="J184" s="2" t="str">
        <f>TRIM(CLEAN(SUBSTITUTE(B184,CHAR(10)," ")))</f>
        <v>7636 Harwin Dr. STE 103</v>
      </c>
      <c r="K184" s="3" t="str">
        <f>PROPER(TRIM(C184))</f>
        <v>Houston</v>
      </c>
      <c r="L184" t="str">
        <f>UPPER(LEFT(TRIM(D184),2))</f>
        <v>TX</v>
      </c>
      <c r="M184" t="str">
        <f>IF(OR(UPPER(E184)="UNITED STATES",UPPER(E184)="UNITED STATES OF AMERICA",UPPER(E184)="US",UPPER(E184)="USA"),"USA",E184)</f>
        <v>USA</v>
      </c>
      <c r="N184" t="str" cm="1">
        <f t="array" ref="N184">_xlfn.REGEXEXTRACT(F184,"\d{5}")</f>
        <v>77036</v>
      </c>
    </row>
    <row r="185" spans="1:14" ht="36" x14ac:dyDescent="0.15">
      <c r="A185" s="2" t="s">
        <v>818</v>
      </c>
      <c r="B185" s="2" t="s">
        <v>819</v>
      </c>
      <c r="C185" s="2" t="s">
        <v>29</v>
      </c>
      <c r="D185" s="2" t="s">
        <v>20</v>
      </c>
      <c r="E185" s="2"/>
      <c r="F185" s="2" t="s">
        <v>733</v>
      </c>
      <c r="G185" s="2"/>
      <c r="H185" s="2"/>
      <c r="I185" s="2" t="str">
        <f>TRIM(CLEAN(SUBSTITUTE(A185,CHAR(10)," ")))</f>
        <v>Huge Bites</v>
      </c>
      <c r="J185" s="2" t="str">
        <f>TRIM(CLEAN(SUBSTITUTE(B185,CHAR(10)," ")))</f>
        <v>7919 Westeimer Rd</v>
      </c>
      <c r="K185" s="3" t="str">
        <f>PROPER(TRIM(C185))</f>
        <v>Houston</v>
      </c>
      <c r="L185" t="str">
        <f>UPPER(LEFT(TRIM(D185),2))</f>
        <v>TX</v>
      </c>
      <c r="M185">
        <f>IF(OR(UPPER(E185)="UNITED STATES",UPPER(E185)="UNITED STATES OF AMERICA",UPPER(E185)="US",UPPER(E185)="USA"),"USA",E185)</f>
        <v>0</v>
      </c>
      <c r="N185" t="str" cm="1">
        <f t="array" ref="N185">_xlfn.REGEXEXTRACT(F185,"\d{5}")</f>
        <v>77063</v>
      </c>
    </row>
    <row r="186" spans="1:14" ht="36" x14ac:dyDescent="0.15">
      <c r="A186" s="2" t="s">
        <v>820</v>
      </c>
      <c r="B186" s="2" t="s">
        <v>821</v>
      </c>
      <c r="C186" s="2" t="s">
        <v>29</v>
      </c>
      <c r="D186" s="2" t="s">
        <v>20</v>
      </c>
      <c r="E186" s="2" t="s">
        <v>10</v>
      </c>
      <c r="F186" s="2" t="s">
        <v>733</v>
      </c>
      <c r="G186" s="2"/>
      <c r="H186" s="2"/>
      <c r="I186" s="2" t="str">
        <f>TRIM(CLEAN(SUBSTITUTE(A186,CHAR(10)," ")))</f>
        <v>ISTANBUL SWEETS</v>
      </c>
      <c r="J186" s="2" t="str">
        <f>TRIM(CLEAN(SUBSTITUTE(B186,CHAR(10)," ")))</f>
        <v>7919 Westheimer Road</v>
      </c>
      <c r="K186" s="3" t="str">
        <f>PROPER(TRIM(C186))</f>
        <v>Houston</v>
      </c>
      <c r="L186" t="str">
        <f>UPPER(LEFT(TRIM(D186),2))</f>
        <v>TX</v>
      </c>
      <c r="M186" t="str">
        <f>IF(OR(UPPER(E186)="UNITED STATES",UPPER(E186)="UNITED STATES OF AMERICA",UPPER(E186)="US",UPPER(E186)="USA"),"USA",E186)</f>
        <v>USA</v>
      </c>
      <c r="N186" t="str" cm="1">
        <f t="array" ref="N186">_xlfn.REGEXEXTRACT(F186,"\d{5}")</f>
        <v>77063</v>
      </c>
    </row>
    <row r="187" spans="1:14" ht="36" x14ac:dyDescent="0.15">
      <c r="A187" s="2" t="s">
        <v>843</v>
      </c>
      <c r="B187" s="2" t="s">
        <v>844</v>
      </c>
      <c r="C187" s="2" t="s">
        <v>29</v>
      </c>
      <c r="D187" s="2" t="s">
        <v>20</v>
      </c>
      <c r="E187" s="2"/>
      <c r="F187" s="2" t="s">
        <v>30</v>
      </c>
      <c r="G187" s="2"/>
      <c r="H187" s="2"/>
      <c r="I187" s="2" t="str">
        <f>TRIM(CLEAN(SUBSTITUTE(A187,CHAR(10)," ")))</f>
        <v>Quality Wholesale TX</v>
      </c>
      <c r="J187" s="2" t="str">
        <f>TRIM(CLEAN(SUBSTITUTE(B187,CHAR(10)," ")))</f>
        <v>8000 Harwin Dr. #190a</v>
      </c>
      <c r="K187" s="3" t="str">
        <f>PROPER(TRIM(C187))</f>
        <v>Houston</v>
      </c>
      <c r="L187" t="str">
        <f>UPPER(LEFT(TRIM(D187),2))</f>
        <v>TX</v>
      </c>
      <c r="M187">
        <f>IF(OR(UPPER(E187)="UNITED STATES",UPPER(E187)="UNITED STATES OF AMERICA",UPPER(E187)="US",UPPER(E187)="USA"),"USA",E187)</f>
        <v>0</v>
      </c>
      <c r="N187" t="str" cm="1">
        <f t="array" ref="N187">_xlfn.REGEXEXTRACT(F187,"\d{5}")</f>
        <v>77036</v>
      </c>
    </row>
    <row r="188" spans="1:14" ht="24" x14ac:dyDescent="0.15">
      <c r="A188" s="2" t="s">
        <v>704</v>
      </c>
      <c r="B188" s="2" t="s">
        <v>705</v>
      </c>
      <c r="C188" s="2" t="s">
        <v>29</v>
      </c>
      <c r="D188" s="2" t="s">
        <v>20</v>
      </c>
      <c r="E188" s="2" t="s">
        <v>10</v>
      </c>
      <c r="F188" s="2" t="s">
        <v>30</v>
      </c>
      <c r="G188" s="2"/>
      <c r="H188" s="2"/>
      <c r="I188" s="2" t="str">
        <f>TRIM(CLEAN(SUBSTITUTE(A188,CHAR(10)," ")))</f>
        <v>Gold Star Imports</v>
      </c>
      <c r="J188" s="2" t="str">
        <f>TRIM(CLEAN(SUBSTITUTE(B188,CHAR(10)," ")))</f>
        <v>8000 Harwin Dr. Ste 460</v>
      </c>
      <c r="K188" s="3" t="str">
        <f>PROPER(TRIM(C188))</f>
        <v>Houston</v>
      </c>
      <c r="L188" t="str">
        <f>UPPER(LEFT(TRIM(D188),2))</f>
        <v>TX</v>
      </c>
      <c r="M188" t="str">
        <f>IF(OR(UPPER(E188)="UNITED STATES",UPPER(E188)="UNITED STATES OF AMERICA",UPPER(E188)="US",UPPER(E188)="USA"),"USA",E188)</f>
        <v>USA</v>
      </c>
      <c r="N188" t="str" cm="1">
        <f t="array" ref="N188">_xlfn.REGEXEXTRACT(F188,"\d{5}")</f>
        <v>77036</v>
      </c>
    </row>
    <row r="189" spans="1:14" ht="36" x14ac:dyDescent="0.15">
      <c r="A189" s="2" t="s">
        <v>869</v>
      </c>
      <c r="B189" s="2" t="s">
        <v>870</v>
      </c>
      <c r="C189" s="2" t="s">
        <v>29</v>
      </c>
      <c r="D189" s="2" t="s">
        <v>20</v>
      </c>
      <c r="E189" s="2" t="s">
        <v>10</v>
      </c>
      <c r="F189" s="2" t="s">
        <v>30</v>
      </c>
      <c r="G189" s="2"/>
      <c r="H189" s="2"/>
      <c r="I189" s="2" t="str">
        <f>TRIM(CLEAN(SUBSTITUTE(A189,CHAR(10)," ")))</f>
        <v>United Wholesale</v>
      </c>
      <c r="J189" s="2" t="str">
        <f>TRIM(CLEAN(SUBSTITUTE(B189,CHAR(10)," ")))</f>
        <v>8000 Harwin Dr. Suit 175-180</v>
      </c>
      <c r="K189" s="3" t="str">
        <f>PROPER(TRIM(C189))</f>
        <v>Houston</v>
      </c>
      <c r="L189" t="str">
        <f>UPPER(LEFT(TRIM(D189),2))</f>
        <v>TX</v>
      </c>
      <c r="M189" t="str">
        <f>IF(OR(UPPER(E189)="UNITED STATES",UPPER(E189)="UNITED STATES OF AMERICA",UPPER(E189)="US",UPPER(E189)="USA"),"USA",E189)</f>
        <v>USA</v>
      </c>
      <c r="N189" t="str" cm="1">
        <f t="array" ref="N189">_xlfn.REGEXEXTRACT(F189,"\d{5}")</f>
        <v>77036</v>
      </c>
    </row>
    <row r="190" spans="1:14" ht="24" x14ac:dyDescent="0.15">
      <c r="A190" s="2" t="s">
        <v>851</v>
      </c>
      <c r="B190" s="2" t="s">
        <v>852</v>
      </c>
      <c r="C190" s="2" t="s">
        <v>29</v>
      </c>
      <c r="D190" s="2" t="s">
        <v>20</v>
      </c>
      <c r="E190" s="2" t="s">
        <v>10</v>
      </c>
      <c r="F190" s="2" t="s">
        <v>30</v>
      </c>
      <c r="G190" s="2"/>
      <c r="H190" s="2"/>
      <c r="I190" s="2" t="str">
        <f>TRIM(CLEAN(SUBSTITUTE(A190,CHAR(10)," ")))</f>
        <v>Sunshine Electronics</v>
      </c>
      <c r="J190" s="2" t="str">
        <f>TRIM(CLEAN(SUBSTITUTE(B190,CHAR(10)," ")))</f>
        <v>8000 Harwin Dr. Suite 540</v>
      </c>
      <c r="K190" s="3" t="str">
        <f>PROPER(TRIM(C190))</f>
        <v>Houston</v>
      </c>
      <c r="L190" t="str">
        <f>UPPER(LEFT(TRIM(D190),2))</f>
        <v>TX</v>
      </c>
      <c r="M190" t="str">
        <f>IF(OR(UPPER(E190)="UNITED STATES",UPPER(E190)="UNITED STATES OF AMERICA",UPPER(E190)="US",UPPER(E190)="USA"),"USA",E190)</f>
        <v>USA</v>
      </c>
      <c r="N190" t="str" cm="1">
        <f t="array" ref="N190">_xlfn.REGEXEXTRACT(F190,"\d{5}")</f>
        <v>77036</v>
      </c>
    </row>
    <row r="191" spans="1:14" ht="48" x14ac:dyDescent="0.15">
      <c r="A191" s="2" t="s">
        <v>731</v>
      </c>
      <c r="B191" s="2" t="s">
        <v>732</v>
      </c>
      <c r="C191" s="2" t="s">
        <v>668</v>
      </c>
      <c r="D191" s="2" t="s">
        <v>20</v>
      </c>
      <c r="E191" s="2" t="s">
        <v>10</v>
      </c>
      <c r="F191" s="2" t="s">
        <v>733</v>
      </c>
      <c r="G191" s="2"/>
      <c r="H191" s="2"/>
      <c r="I191" s="2" t="str">
        <f>TRIM(CLEAN(SUBSTITUTE(A191,CHAR(10)," ")))</f>
        <v>AL ASEEL GRILL AND CAFE</v>
      </c>
      <c r="J191" s="2" t="str">
        <f>TRIM(CLEAN(SUBSTITUTE(B191,CHAR(10)," ")))</f>
        <v>8619 RICHMOND AVE. SUITE#100</v>
      </c>
      <c r="K191" s="3" t="str">
        <f>PROPER(TRIM(C191))</f>
        <v>Houston</v>
      </c>
      <c r="L191" t="str">
        <f>UPPER(LEFT(TRIM(D191),2))</f>
        <v>TX</v>
      </c>
      <c r="M191" t="str">
        <f>IF(OR(UPPER(E191)="UNITED STATES",UPPER(E191)="UNITED STATES OF AMERICA",UPPER(E191)="US",UPPER(E191)="USA"),"USA",E191)</f>
        <v>USA</v>
      </c>
      <c r="N191" t="str" cm="1">
        <f t="array" ref="N191">_xlfn.REGEXEXTRACT(F191,"\d{5}")</f>
        <v>77063</v>
      </c>
    </row>
    <row r="192" spans="1:14" ht="24" x14ac:dyDescent="0.15">
      <c r="A192" s="2" t="s">
        <v>782</v>
      </c>
      <c r="B192" s="2" t="s">
        <v>783</v>
      </c>
      <c r="C192" s="2" t="s">
        <v>29</v>
      </c>
      <c r="D192" s="2" t="s">
        <v>20</v>
      </c>
      <c r="E192" s="2" t="s">
        <v>10</v>
      </c>
      <c r="F192" s="2" t="s">
        <v>727</v>
      </c>
      <c r="G192" s="2"/>
      <c r="H192" s="2"/>
      <c r="I192" s="2" t="str">
        <f>TRIM(CLEAN(SUBSTITUTE(A192,CHAR(10)," ")))</f>
        <v>ESMETU LLC</v>
      </c>
      <c r="J192" s="2" t="str">
        <f>TRIM(CLEAN(SUBSTITUTE(B192,CHAR(10)," ")))</f>
        <v>9301 W Bellfort Blvd</v>
      </c>
      <c r="K192" s="3" t="str">
        <f>PROPER(TRIM(C192))</f>
        <v>Houston</v>
      </c>
      <c r="L192" t="str">
        <f>UPPER(LEFT(TRIM(D192),2))</f>
        <v>TX</v>
      </c>
      <c r="M192" t="str">
        <f>IF(OR(UPPER(E192)="UNITED STATES",UPPER(E192)="UNITED STATES OF AMERICA",UPPER(E192)="US",UPPER(E192)="USA"),"USA",E192)</f>
        <v>USA</v>
      </c>
      <c r="N192" t="str" cm="1">
        <f t="array" ref="N192">_xlfn.REGEXEXTRACT(F192,"\d{5}")</f>
        <v>77031</v>
      </c>
    </row>
    <row r="193" spans="1:14" ht="24" x14ac:dyDescent="0.15">
      <c r="A193" s="2"/>
      <c r="B193" s="2" t="s">
        <v>783</v>
      </c>
      <c r="C193" s="2" t="s">
        <v>29</v>
      </c>
      <c r="D193" s="2" t="s">
        <v>402</v>
      </c>
      <c r="E193" s="2"/>
      <c r="F193" s="2" t="s">
        <v>727</v>
      </c>
      <c r="G193" s="2"/>
      <c r="H193" s="2"/>
      <c r="I193" s="2" t="str">
        <f>TRIM(CLEAN(SUBSTITUTE(A193,CHAR(10)," ")))</f>
        <v/>
      </c>
      <c r="J193" s="2" t="str">
        <f>TRIM(CLEAN(SUBSTITUTE(B193,CHAR(10)," ")))</f>
        <v>9301 W Bellfort Blvd</v>
      </c>
      <c r="K193" s="3" t="str">
        <f>PROPER(TRIM(C193))</f>
        <v>Houston</v>
      </c>
      <c r="L193" t="str">
        <f>UPPER(LEFT(TRIM(D193),2))</f>
        <v>TX</v>
      </c>
      <c r="M193">
        <f>IF(OR(UPPER(E193)="UNITED STATES",UPPER(E193)="UNITED STATES OF AMERICA",UPPER(E193)="US",UPPER(E193)="USA"),"USA",E193)</f>
        <v>0</v>
      </c>
      <c r="N193" t="str" cm="1">
        <f t="array" ref="N193">_xlfn.REGEXEXTRACT(F193,"\d{5}")</f>
        <v>77031</v>
      </c>
    </row>
    <row r="194" spans="1:14" ht="48" x14ac:dyDescent="0.15">
      <c r="A194" s="2" t="s">
        <v>978</v>
      </c>
      <c r="B194" s="2" t="s">
        <v>979</v>
      </c>
      <c r="C194" s="2" t="s">
        <v>29</v>
      </c>
      <c r="D194" s="2" t="s">
        <v>20</v>
      </c>
      <c r="E194" s="2" t="s">
        <v>10</v>
      </c>
      <c r="F194" s="2" t="s">
        <v>30</v>
      </c>
      <c r="G194" s="2"/>
      <c r="H194" s="2"/>
      <c r="I194" s="2" t="str">
        <f>TRIM(CLEAN(SUBSTITUTE(A194,CHAR(10)," ")))</f>
        <v>HOUSTON TURAN UYGHURR KITCHEN</v>
      </c>
      <c r="J194" s="2" t="str">
        <f>TRIM(CLEAN(SUBSTITUTE(B194,CHAR(10)," ")))</f>
        <v>9330 Bellaire Blvd</v>
      </c>
      <c r="K194" s="3" t="str">
        <f>PROPER(TRIM(C194))</f>
        <v>Houston</v>
      </c>
      <c r="L194" t="str">
        <f>UPPER(LEFT(TRIM(D194),2))</f>
        <v>TX</v>
      </c>
      <c r="M194" t="str">
        <f>IF(OR(UPPER(E194)="UNITED STATES",UPPER(E194)="UNITED STATES OF AMERICA",UPPER(E194)="US",UPPER(E194)="USA"),"USA",E194)</f>
        <v>USA</v>
      </c>
      <c r="N194" t="str" cm="1">
        <f t="array" ref="N194">_xlfn.REGEXEXTRACT(F194,"\d{5}")</f>
        <v>77036</v>
      </c>
    </row>
    <row r="195" spans="1:14" ht="48" x14ac:dyDescent="0.15">
      <c r="A195" s="2" t="s">
        <v>795</v>
      </c>
      <c r="B195" s="2" t="s">
        <v>796</v>
      </c>
      <c r="C195" s="2" t="s">
        <v>668</v>
      </c>
      <c r="D195" s="2" t="s">
        <v>20</v>
      </c>
      <c r="E195" s="2" t="s">
        <v>10</v>
      </c>
      <c r="F195" s="2" t="s">
        <v>797</v>
      </c>
      <c r="G195" s="2"/>
      <c r="H195" s="2"/>
      <c r="I195" s="2" t="str">
        <f>TRIM(CLEAN(SUBSTITUTE(A195,CHAR(10)," ")))</f>
        <v>Harmony School of Innovation - Houston</v>
      </c>
      <c r="J195" s="2" t="str">
        <f>TRIM(CLEAN(SUBSTITUTE(B195,CHAR(10)," ")))</f>
        <v>9421 W Sam houston pkway S</v>
      </c>
      <c r="K195" s="3" t="str">
        <f>PROPER(TRIM(C195))</f>
        <v>Houston</v>
      </c>
      <c r="L195" t="str">
        <f>UPPER(LEFT(TRIM(D195),2))</f>
        <v>TX</v>
      </c>
      <c r="M195" t="str">
        <f>IF(OR(UPPER(E195)="UNITED STATES",UPPER(E195)="UNITED STATES OF AMERICA",UPPER(E195)="US",UPPER(E195)="USA"),"USA",E195)</f>
        <v>USA</v>
      </c>
      <c r="N195" t="str" cm="1">
        <f t="array" ref="N195">_xlfn.REGEXEXTRACT(F195,"\d{5}")</f>
        <v>77099</v>
      </c>
    </row>
    <row r="196" spans="1:14" ht="24" x14ac:dyDescent="0.15">
      <c r="A196" s="2" t="s">
        <v>744</v>
      </c>
      <c r="B196" s="2" t="s">
        <v>745</v>
      </c>
      <c r="C196" s="2" t="s">
        <v>29</v>
      </c>
      <c r="D196" s="2" t="s">
        <v>20</v>
      </c>
      <c r="E196" s="2" t="s">
        <v>10</v>
      </c>
      <c r="F196" s="2" t="s">
        <v>746</v>
      </c>
      <c r="G196" s="2"/>
      <c r="H196" s="2"/>
      <c r="I196" s="2" t="str">
        <f>TRIM(CLEAN(SUBSTITUTE(A196,CHAR(10)," ")))</f>
        <v>Apex Quartz USA Inc</v>
      </c>
      <c r="J196" s="2" t="str">
        <f>TRIM(CLEAN(SUBSTITUTE(B196,CHAR(10)," ")))</f>
        <v>9618 W Tidwell Rd</v>
      </c>
      <c r="K196" s="3" t="str">
        <f>PROPER(TRIM(C196))</f>
        <v>Houston</v>
      </c>
      <c r="L196" t="str">
        <f>UPPER(LEFT(TRIM(D196),2))</f>
        <v>TX</v>
      </c>
      <c r="M196" t="str">
        <f>IF(OR(UPPER(E196)="UNITED STATES",UPPER(E196)="UNITED STATES OF AMERICA",UPPER(E196)="US",UPPER(E196)="USA"),"USA",E196)</f>
        <v>USA</v>
      </c>
      <c r="N196" t="str" cm="1">
        <f t="array" ref="N196">_xlfn.REGEXEXTRACT(F196,"\d{5}")</f>
        <v>77041</v>
      </c>
    </row>
    <row r="197" spans="1:14" ht="24" x14ac:dyDescent="0.15">
      <c r="A197" s="2" t="s">
        <v>958</v>
      </c>
      <c r="B197" s="2" t="s">
        <v>959</v>
      </c>
      <c r="C197" s="2" t="s">
        <v>29</v>
      </c>
      <c r="D197" s="2" t="s">
        <v>102</v>
      </c>
      <c r="E197" s="2" t="s">
        <v>10</v>
      </c>
      <c r="F197" s="2" t="s">
        <v>842</v>
      </c>
      <c r="G197" s="2"/>
      <c r="H197" s="2"/>
      <c r="I197" s="2" t="str">
        <f>TRIM(CLEAN(SUBSTITUTE(A197,CHAR(10)," ")))</f>
        <v>Fadi's - Museum</v>
      </c>
      <c r="J197" s="2" t="str">
        <f>TRIM(CLEAN(SUBSTITUTE(B197,CHAR(10)," ")))</f>
        <v>Binz Street #130</v>
      </c>
      <c r="K197" s="3" t="str">
        <f>PROPER(TRIM(C197))</f>
        <v>Houston</v>
      </c>
      <c r="L197" s="8" t="s">
        <v>20</v>
      </c>
      <c r="M197" t="str">
        <f>IF(OR(UPPER(E197)="UNITED STATES",UPPER(E197)="UNITED STATES OF AMERICA",UPPER(E197)="US",UPPER(E197)="USA"),"USA",E197)</f>
        <v>USA</v>
      </c>
      <c r="N197" t="str" cm="1">
        <f t="array" ref="N197">_xlfn.REGEXEXTRACT(F197,"\d{5}")</f>
        <v>77004</v>
      </c>
    </row>
    <row r="198" spans="1:14" x14ac:dyDescent="0.15">
      <c r="A198" s="2"/>
      <c r="B198" s="2" t="s">
        <v>762</v>
      </c>
      <c r="C198" s="2" t="s">
        <v>29</v>
      </c>
      <c r="D198" s="2" t="s">
        <v>102</v>
      </c>
      <c r="E198" s="2"/>
      <c r="F198" s="2"/>
      <c r="G198" s="2"/>
      <c r="H198" s="2"/>
      <c r="I198" s="2" t="str">
        <f>TRIM(CLEAN(SUBSTITUTE(A198,CHAR(10)," ")))</f>
        <v/>
      </c>
      <c r="J198" s="2" t="str">
        <f>TRIM(CLEAN(SUBSTITUTE(B198,CHAR(10)," ")))</f>
        <v>BW</v>
      </c>
      <c r="K198" s="3" t="str">
        <f>PROPER(TRIM(C198))</f>
        <v>Houston</v>
      </c>
      <c r="L198" s="8" t="s">
        <v>20</v>
      </c>
      <c r="M198">
        <f>IF(OR(UPPER(E198)="UNITED STATES",UPPER(E198)="UNITED STATES OF AMERICA",UPPER(E198)="US",UPPER(E198)="USA"),"USA",E198)</f>
        <v>0</v>
      </c>
      <c r="N198" t="e" cm="1" vm="1">
        <f t="array" ref="N198">_xlfn.REGEXEXTRACT(F198,"\d{5}")</f>
        <v>#N/A</v>
      </c>
    </row>
    <row r="199" spans="1:14" ht="36" x14ac:dyDescent="0.15">
      <c r="A199" s="2" t="s">
        <v>941</v>
      </c>
      <c r="B199" s="2" t="s">
        <v>942</v>
      </c>
      <c r="C199" s="2" t="s">
        <v>29</v>
      </c>
      <c r="D199" s="2" t="s">
        <v>102</v>
      </c>
      <c r="E199" s="2" t="s">
        <v>10</v>
      </c>
      <c r="F199" s="2" t="s">
        <v>943</v>
      </c>
      <c r="G199" s="2"/>
      <c r="H199" s="2"/>
      <c r="I199" s="2" t="str">
        <f>TRIM(CLEAN(SUBSTITUTE(A199,CHAR(10)," ")))</f>
        <v>Dubai Dips</v>
      </c>
      <c r="J199" s="2" t="str">
        <f>TRIM(CLEAN(SUBSTITUTE(B199,CHAR(10)," ")))</f>
        <v>Clear Lake City Boulevard</v>
      </c>
      <c r="K199" s="3" t="str">
        <f>PROPER(TRIM(C199))</f>
        <v>Houston</v>
      </c>
      <c r="L199" s="8" t="s">
        <v>20</v>
      </c>
      <c r="M199" t="str">
        <f>IF(OR(UPPER(E199)="UNITED STATES",UPPER(E199)="UNITED STATES OF AMERICA",UPPER(E199)="US",UPPER(E199)="USA"),"USA",E199)</f>
        <v>USA</v>
      </c>
      <c r="N199" t="str" cm="1">
        <f t="array" ref="N199">_xlfn.REGEXEXTRACT(F199,"\d{5}")</f>
        <v>77062</v>
      </c>
    </row>
    <row r="200" spans="1:14" ht="24" x14ac:dyDescent="0.15">
      <c r="A200" s="2" t="s">
        <v>1072</v>
      </c>
      <c r="B200" s="2" t="s">
        <v>1073</v>
      </c>
      <c r="C200" s="2" t="s">
        <v>29</v>
      </c>
      <c r="D200" s="2" t="s">
        <v>102</v>
      </c>
      <c r="E200" s="2" t="s">
        <v>10</v>
      </c>
      <c r="F200" s="2" t="s">
        <v>1074</v>
      </c>
      <c r="G200" s="2"/>
      <c r="H200" s="2"/>
      <c r="I200" s="2" t="str">
        <f>TRIM(CLEAN(SUBSTITUTE(A200,CHAR(10)," ")))</f>
        <v>Two Brothers Halal Market</v>
      </c>
      <c r="J200" s="2" t="str">
        <f>TRIM(CLEAN(SUBSTITUTE(B200,CHAR(10)," ")))</f>
        <v>Conrad Sauer Drive</v>
      </c>
      <c r="K200" s="3" t="str">
        <f>PROPER(TRIM(C200))</f>
        <v>Houston</v>
      </c>
      <c r="L200" s="8" t="s">
        <v>20</v>
      </c>
      <c r="M200" t="str">
        <f>IF(OR(UPPER(E200)="UNITED STATES",UPPER(E200)="UNITED STATES OF AMERICA",UPPER(E200)="US",UPPER(E200)="USA"),"USA",E200)</f>
        <v>USA</v>
      </c>
      <c r="N200" t="str" cm="1">
        <f t="array" ref="N200">_xlfn.REGEXEXTRACT(F200,"\d{5}")</f>
        <v>77043</v>
      </c>
    </row>
    <row r="201" spans="1:14" ht="24" x14ac:dyDescent="0.15">
      <c r="A201" s="2" t="s">
        <v>1006</v>
      </c>
      <c r="B201" s="2" t="s">
        <v>1007</v>
      </c>
      <c r="C201" s="2" t="s">
        <v>29</v>
      </c>
      <c r="D201" s="2" t="s">
        <v>102</v>
      </c>
      <c r="E201" s="2" t="s">
        <v>10</v>
      </c>
      <c r="F201" s="2" t="s">
        <v>753</v>
      </c>
      <c r="G201" s="2"/>
      <c r="H201" s="2"/>
      <c r="I201" s="2" t="str">
        <f>TRIM(CLEAN(SUBSTITUTE(A201,CHAR(10)," ")))</f>
        <v>Meat Moot</v>
      </c>
      <c r="J201" s="2" t="str">
        <f>TRIM(CLEAN(SUBSTITUTE(B201,CHAR(10)," ")))</f>
        <v>Eldridge Parkway</v>
      </c>
      <c r="K201" s="3" t="str">
        <f>PROPER(TRIM(C201))</f>
        <v>Houston</v>
      </c>
      <c r="L201" s="8" t="s">
        <v>20</v>
      </c>
      <c r="M201" t="str">
        <f>IF(OR(UPPER(E201)="UNITED STATES",UPPER(E201)="UNITED STATES OF AMERICA",UPPER(E201)="US",UPPER(E201)="USA"),"USA",E201)</f>
        <v>USA</v>
      </c>
      <c r="N201" t="str" cm="1">
        <f t="array" ref="N201">_xlfn.REGEXEXTRACT(F201,"\d{5}")</f>
        <v>77082</v>
      </c>
    </row>
    <row r="202" spans="1:14" ht="36" x14ac:dyDescent="0.15">
      <c r="A202" s="2" t="s">
        <v>969</v>
      </c>
      <c r="B202" s="2" t="s">
        <v>970</v>
      </c>
      <c r="C202" s="2" t="s">
        <v>29</v>
      </c>
      <c r="D202" s="2" t="s">
        <v>102</v>
      </c>
      <c r="E202" s="2" t="s">
        <v>10</v>
      </c>
      <c r="F202" s="2" t="s">
        <v>971</v>
      </c>
      <c r="G202" s="2"/>
      <c r="H202" s="2"/>
      <c r="I202" s="2" t="str">
        <f>TRIM(CLEAN(SUBSTITUTE(A202,CHAR(10)," ")))</f>
        <v>Golden Roastery (NORTH)</v>
      </c>
      <c r="J202" s="2" t="str">
        <f>TRIM(CLEAN(SUBSTITUTE(B202,CHAR(10)," ")))</f>
        <v>Farm to Market 1960 Road West</v>
      </c>
      <c r="K202" s="3" t="str">
        <f>PROPER(TRIM(C202))</f>
        <v>Houston</v>
      </c>
      <c r="L202" s="8" t="s">
        <v>20</v>
      </c>
      <c r="M202" t="str">
        <f>IF(OR(UPPER(E202)="UNITED STATES",UPPER(E202)="UNITED STATES OF AMERICA",UPPER(E202)="US",UPPER(E202)="USA"),"USA",E202)</f>
        <v>USA</v>
      </c>
      <c r="N202" t="str" cm="1">
        <f t="array" ref="N202">_xlfn.REGEXEXTRACT(F202,"\d{5}")</f>
        <v>77069</v>
      </c>
    </row>
    <row r="203" spans="1:14" ht="36" x14ac:dyDescent="0.15">
      <c r="A203" s="2" t="s">
        <v>835</v>
      </c>
      <c r="B203" s="2" t="s">
        <v>668</v>
      </c>
      <c r="C203" s="2" t="s">
        <v>668</v>
      </c>
      <c r="D203" s="2" t="s">
        <v>20</v>
      </c>
      <c r="E203" s="2"/>
      <c r="F203" s="2"/>
      <c r="G203" s="2"/>
      <c r="H203" s="2"/>
      <c r="I203" s="2" t="str">
        <f>TRIM(CLEAN(SUBSTITUTE(A203,CHAR(10)," ")))</f>
        <v>ART CONSTRUCTION</v>
      </c>
      <c r="J203" s="2" t="str">
        <f>TRIM(CLEAN(SUBSTITUTE(B203,CHAR(10)," ")))</f>
        <v>HOUSTON</v>
      </c>
      <c r="K203" s="3" t="str">
        <f>PROPER(TRIM(C203))</f>
        <v>Houston</v>
      </c>
      <c r="L203" t="str">
        <f>UPPER(LEFT(TRIM(D203),2))</f>
        <v>TX</v>
      </c>
      <c r="M203">
        <f>IF(OR(UPPER(E203)="UNITED STATES",UPPER(E203)="UNITED STATES OF AMERICA",UPPER(E203)="US",UPPER(E203)="USA"),"USA",E203)</f>
        <v>0</v>
      </c>
      <c r="N203" t="e" cm="1" vm="1">
        <f t="array" ref="N203">_xlfn.REGEXEXTRACT(F203,"\d{5}")</f>
        <v>#N/A</v>
      </c>
    </row>
    <row r="204" spans="1:14" ht="60" x14ac:dyDescent="0.15">
      <c r="A204" s="2" t="s">
        <v>774</v>
      </c>
      <c r="B204" s="2" t="s">
        <v>775</v>
      </c>
      <c r="C204" s="2" t="s">
        <v>29</v>
      </c>
      <c r="D204" s="2" t="s">
        <v>20</v>
      </c>
      <c r="E204" s="2" t="s">
        <v>10</v>
      </c>
      <c r="F204" s="2" t="s">
        <v>30</v>
      </c>
      <c r="G204" s="2"/>
      <c r="H204" s="2"/>
      <c r="I204" s="2" t="str">
        <f>TRIM(CLEAN(SUBSTITUTE(A204,CHAR(10)," ")))</f>
        <v>Divine Distro</v>
      </c>
      <c r="J204" s="2" t="str">
        <f>TRIM(CLEAN(SUBSTITUTE(B204,CHAR(10)," ")))</f>
        <v>Mailing address: 5755 Bonhomme Rd, Suite 410,</v>
      </c>
      <c r="K204" s="3" t="str">
        <f>PROPER(TRIM(C204))</f>
        <v>Houston</v>
      </c>
      <c r="L204" t="str">
        <f>UPPER(LEFT(TRIM(D204),2))</f>
        <v>TX</v>
      </c>
      <c r="M204" t="str">
        <f>IF(OR(UPPER(E204)="UNITED STATES",UPPER(E204)="UNITED STATES OF AMERICA",UPPER(E204)="US",UPPER(E204)="USA"),"USA",E204)</f>
        <v>USA</v>
      </c>
      <c r="N204" t="str" cm="1">
        <f t="array" ref="N204">_xlfn.REGEXEXTRACT(F204,"\d{5}")</f>
        <v>77036</v>
      </c>
    </row>
    <row r="205" spans="1:14" ht="36" x14ac:dyDescent="0.15">
      <c r="A205" s="2" t="s">
        <v>1368</v>
      </c>
      <c r="B205" s="2" t="s">
        <v>1369</v>
      </c>
      <c r="C205" s="2" t="s">
        <v>29</v>
      </c>
      <c r="D205" s="2" t="s">
        <v>102</v>
      </c>
      <c r="E205" s="2" t="s">
        <v>10</v>
      </c>
      <c r="F205" s="2" t="s">
        <v>964</v>
      </c>
      <c r="G205" s="2"/>
      <c r="H205" s="2"/>
      <c r="I205" s="2" t="str">
        <f>TRIM(CLEAN(SUBSTITUTE(A205,CHAR(10)," ")))</f>
        <v>Sultan Pepar Memorial</v>
      </c>
      <c r="J205" s="2" t="str">
        <f>TRIM(CLEAN(SUBSTITUTE(B205,CHAR(10)," ")))</f>
        <v>Memorial City Mall suit#730</v>
      </c>
      <c r="K205" s="3" t="str">
        <f>PROPER(TRIM(C205))</f>
        <v>Houston</v>
      </c>
      <c r="L205" s="8" t="s">
        <v>20</v>
      </c>
      <c r="M205" t="str">
        <f>IF(OR(UPPER(E205)="UNITED STATES",UPPER(E205)="UNITED STATES OF AMERICA",UPPER(E205)="US",UPPER(E205)="USA"),"USA",E205)</f>
        <v>USA</v>
      </c>
      <c r="N205" t="str" cm="1">
        <f t="array" ref="N205">_xlfn.REGEXEXTRACT(F205,"\d{5}")</f>
        <v>77024</v>
      </c>
    </row>
    <row r="206" spans="1:14" ht="36" x14ac:dyDescent="0.15">
      <c r="A206" s="2" t="s">
        <v>950</v>
      </c>
      <c r="B206" s="2" t="s">
        <v>951</v>
      </c>
      <c r="C206" s="2" t="s">
        <v>29</v>
      </c>
      <c r="D206" s="2" t="s">
        <v>102</v>
      </c>
      <c r="E206" s="2" t="s">
        <v>10</v>
      </c>
      <c r="F206" s="2" t="s">
        <v>756</v>
      </c>
      <c r="G206" s="2"/>
      <c r="H206" s="2"/>
      <c r="I206" s="2" t="str">
        <f>TRIM(CLEAN(SUBSTITUTE(A206,CHAR(10)," ")))</f>
        <v>Fadi's - Central Kitchen</v>
      </c>
      <c r="J206" s="2" t="str">
        <f>TRIM(CLEAN(SUBSTITUTE(B206,CHAR(10)," ")))</f>
        <v>South Texas 6</v>
      </c>
      <c r="K206" s="3" t="str">
        <f>PROPER(TRIM(C206))</f>
        <v>Houston</v>
      </c>
      <c r="L206" s="8" t="s">
        <v>20</v>
      </c>
      <c r="M206" t="str">
        <f>IF(OR(UPPER(E206)="UNITED STATES",UPPER(E206)="UNITED STATES OF AMERICA",UPPER(E206)="US",UPPER(E206)="USA"),"USA",E206)</f>
        <v>USA</v>
      </c>
      <c r="N206" t="str" cm="1">
        <f t="array" ref="N206">_xlfn.REGEXEXTRACT(F206,"\d{5}")</f>
        <v>77077</v>
      </c>
    </row>
    <row r="207" spans="1:14" ht="24" x14ac:dyDescent="0.15">
      <c r="A207" s="2" t="s">
        <v>1052</v>
      </c>
      <c r="B207" s="2" t="s">
        <v>1053</v>
      </c>
      <c r="C207" s="2" t="s">
        <v>29</v>
      </c>
      <c r="D207" s="2" t="s">
        <v>102</v>
      </c>
      <c r="E207" s="2" t="s">
        <v>10</v>
      </c>
      <c r="F207" s="2" t="s">
        <v>1054</v>
      </c>
      <c r="G207" s="2"/>
      <c r="H207" s="2"/>
      <c r="I207" s="2" t="str">
        <f>TRIM(CLEAN(SUBSTITUTE(A207,CHAR(10)," ")))</f>
        <v>Ruposhi Bangla</v>
      </c>
      <c r="J207" s="2" t="str">
        <f>TRIM(CLEAN(SUBSTITUTE(B207,CHAR(10)," ")))</f>
        <v>South Texas 6 SH 6</v>
      </c>
      <c r="K207" s="3" t="str">
        <f>PROPER(TRIM(C207))</f>
        <v>Houston</v>
      </c>
      <c r="L207" s="8" t="s">
        <v>20</v>
      </c>
      <c r="M207" t="str">
        <f>IF(OR(UPPER(E207)="UNITED STATES",UPPER(E207)="UNITED STATES OF AMERICA",UPPER(E207)="US",UPPER(E207)="USA"),"USA",E207)</f>
        <v>USA</v>
      </c>
      <c r="N207" t="str" cm="1">
        <f t="array" ref="N207">_xlfn.REGEXEXTRACT(F207,"\d{5}")</f>
        <v>77083</v>
      </c>
    </row>
    <row r="208" spans="1:14" ht="36" x14ac:dyDescent="0.15">
      <c r="A208" s="2" t="s">
        <v>984</v>
      </c>
      <c r="B208" s="2" t="s">
        <v>985</v>
      </c>
      <c r="C208" s="2" t="s">
        <v>29</v>
      </c>
      <c r="D208" s="2" t="s">
        <v>102</v>
      </c>
      <c r="E208" s="2" t="s">
        <v>10</v>
      </c>
      <c r="F208" s="2" t="s">
        <v>986</v>
      </c>
      <c r="G208" s="2"/>
      <c r="H208" s="2"/>
      <c r="I208" s="2" t="str">
        <f>TRIM(CLEAN(SUBSTITUTE(A208,CHAR(10)," ")))</f>
        <v>Kasra Persian Grill Times Blvd</v>
      </c>
      <c r="J208" s="2" t="str">
        <f>TRIM(CLEAN(SUBSTITUTE(B208,CHAR(10)," ")))</f>
        <v>Times Boulevard</v>
      </c>
      <c r="K208" s="3" t="str">
        <f>PROPER(TRIM(C208))</f>
        <v>Houston</v>
      </c>
      <c r="L208" s="8" t="s">
        <v>20</v>
      </c>
      <c r="M208" t="str">
        <f>IF(OR(UPPER(E208)="UNITED STATES",UPPER(E208)="UNITED STATES OF AMERICA",UPPER(E208)="US",UPPER(E208)="USA"),"USA",E208)</f>
        <v>USA</v>
      </c>
      <c r="N208" t="str" cm="1">
        <f t="array" ref="N208">_xlfn.REGEXEXTRACT(F208,"\d{5}")</f>
        <v>77005</v>
      </c>
    </row>
    <row r="209" spans="1:14" ht="24" x14ac:dyDescent="0.15">
      <c r="A209" s="2" t="s">
        <v>884</v>
      </c>
      <c r="B209" s="2" t="s">
        <v>885</v>
      </c>
      <c r="C209" s="2" t="s">
        <v>29</v>
      </c>
      <c r="D209" s="2" t="s">
        <v>102</v>
      </c>
      <c r="E209" s="2" t="s">
        <v>10</v>
      </c>
      <c r="F209" s="2" t="s">
        <v>733</v>
      </c>
      <c r="G209" s="2"/>
      <c r="H209" s="2"/>
      <c r="I209" s="2" t="str">
        <f>TRIM(CLEAN(SUBSTITUTE(A209,CHAR(10)," ")))</f>
        <v>01 Adana Turkish Grill</v>
      </c>
      <c r="J209" s="2" t="str">
        <f>TRIM(CLEAN(SUBSTITUTE(B209,CHAR(10)," ")))</f>
        <v>Westheimer Road</v>
      </c>
      <c r="K209" s="3" t="str">
        <f>PROPER(TRIM(C209))</f>
        <v>Houston</v>
      </c>
      <c r="L209" s="8" t="s">
        <v>20</v>
      </c>
      <c r="M209" t="str">
        <f>IF(OR(UPPER(E209)="UNITED STATES",UPPER(E209)="UNITED STATES OF AMERICA",UPPER(E209)="US",UPPER(E209)="USA"),"USA",E209)</f>
        <v>USA</v>
      </c>
      <c r="N209" t="str" cm="1">
        <f t="array" ref="N209">_xlfn.REGEXEXTRACT(F209,"\d{5}")</f>
        <v>77063</v>
      </c>
    </row>
    <row r="210" spans="1:14" ht="36" x14ac:dyDescent="0.15">
      <c r="A210" s="2" t="s">
        <v>940</v>
      </c>
      <c r="B210" s="2" t="s">
        <v>885</v>
      </c>
      <c r="C210" s="2" t="s">
        <v>29</v>
      </c>
      <c r="D210" s="2" t="s">
        <v>102</v>
      </c>
      <c r="E210" s="2" t="s">
        <v>10</v>
      </c>
      <c r="F210" s="2" t="s">
        <v>733</v>
      </c>
      <c r="G210" s="2"/>
      <c r="H210" s="2"/>
      <c r="I210" s="2" t="str">
        <f>TRIM(CLEAN(SUBSTITUTE(A210,CHAR(10)," ")))</f>
        <v>Dijlah Grocery &amp; Bakery</v>
      </c>
      <c r="J210" s="2" t="str">
        <f>TRIM(CLEAN(SUBSTITUTE(B210,CHAR(10)," ")))</f>
        <v>Westheimer Road</v>
      </c>
      <c r="K210" s="3" t="str">
        <f>PROPER(TRIM(C210))</f>
        <v>Houston</v>
      </c>
      <c r="L210" s="8" t="s">
        <v>20</v>
      </c>
      <c r="M210" t="str">
        <f>IF(OR(UPPER(E210)="UNITED STATES",UPPER(E210)="UNITED STATES OF AMERICA",UPPER(E210)="US",UPPER(E210)="USA"),"USA",E210)</f>
        <v>USA</v>
      </c>
      <c r="N210" t="str" cm="1">
        <f t="array" ref="N210">_xlfn.REGEXEXTRACT(F210,"\d{5}")</f>
        <v>77063</v>
      </c>
    </row>
    <row r="211" spans="1:14" ht="36" x14ac:dyDescent="0.15">
      <c r="A211" s="2" t="s">
        <v>982</v>
      </c>
      <c r="B211" s="2" t="s">
        <v>983</v>
      </c>
      <c r="C211" s="2" t="s">
        <v>29</v>
      </c>
      <c r="D211" s="2" t="s">
        <v>102</v>
      </c>
      <c r="E211" s="2" t="s">
        <v>10</v>
      </c>
      <c r="F211" s="2" t="s">
        <v>907</v>
      </c>
      <c r="G211" s="2"/>
      <c r="H211" s="2"/>
      <c r="I211" s="2" t="str">
        <f>TRIM(CLEAN(SUBSTITUTE(A211,CHAR(10)," ")))</f>
        <v>Kasra Persian Grill</v>
      </c>
      <c r="J211" s="2" t="str">
        <f>TRIM(CLEAN(SUBSTITUTE(B211,CHAR(10)," ")))</f>
        <v>Westheimer Road Houston</v>
      </c>
      <c r="K211" s="3" t="str">
        <f>PROPER(TRIM(C211))</f>
        <v>Houston</v>
      </c>
      <c r="L211" s="8" t="s">
        <v>20</v>
      </c>
      <c r="M211" t="str">
        <f>IF(OR(UPPER(E211)="UNITED STATES",UPPER(E211)="UNITED STATES OF AMERICA",UPPER(E211)="US",UPPER(E211)="USA"),"USA",E211)</f>
        <v>USA</v>
      </c>
      <c r="N211" t="str" cm="1">
        <f t="array" ref="N211">_xlfn.REGEXEXTRACT(F211,"\d{5}")</f>
        <v>77042</v>
      </c>
    </row>
    <row r="212" spans="1:14" ht="36" x14ac:dyDescent="0.15">
      <c r="A212" s="2" t="s">
        <v>996</v>
      </c>
      <c r="B212" s="2" t="s">
        <v>997</v>
      </c>
      <c r="C212" s="2" t="s">
        <v>29</v>
      </c>
      <c r="D212" s="2" t="s">
        <v>102</v>
      </c>
      <c r="E212" s="2" t="s">
        <v>10</v>
      </c>
      <c r="F212" s="2" t="s">
        <v>765</v>
      </c>
      <c r="G212" s="2"/>
      <c r="H212" s="2"/>
      <c r="I212" s="2" t="str">
        <f>TRIM(CLEAN(SUBSTITUTE(A212,CHAR(10)," ")))</f>
        <v>Sultanpepper LLC</v>
      </c>
      <c r="J212" s="2" t="str">
        <f>TRIM(CLEAN(SUBSTITUTE(B212,CHAR(10)," ")))</f>
        <v>Westheimer Road houston</v>
      </c>
      <c r="K212" s="3" t="str">
        <f>PROPER(TRIM(C212))</f>
        <v>Houston</v>
      </c>
      <c r="L212" s="8" t="s">
        <v>20</v>
      </c>
      <c r="M212" t="str">
        <f>IF(OR(UPPER(E212)="UNITED STATES",UPPER(E212)="UNITED STATES OF AMERICA",UPPER(E212)="US",UPPER(E212)="USA"),"USA",E212)</f>
        <v>USA</v>
      </c>
      <c r="N212" t="str" cm="1">
        <f t="array" ref="N212">_xlfn.REGEXEXTRACT(F212,"\d{5}")</f>
        <v>77057</v>
      </c>
    </row>
    <row r="213" spans="1:14" ht="36" x14ac:dyDescent="0.15">
      <c r="A213" s="2" t="s">
        <v>1000</v>
      </c>
      <c r="B213" s="2" t="s">
        <v>1001</v>
      </c>
      <c r="C213" s="2" t="s">
        <v>29</v>
      </c>
      <c r="D213" s="2" t="s">
        <v>102</v>
      </c>
      <c r="E213" s="2" t="s">
        <v>10</v>
      </c>
      <c r="F213" s="2" t="s">
        <v>1002</v>
      </c>
      <c r="G213" s="2"/>
      <c r="H213" s="2"/>
      <c r="I213" s="2" t="str">
        <f>TRIM(CLEAN(SUBSTITUTE(A213,CHAR(10)," ")))</f>
        <v>LEYASHOP LLC _ LEYA CANDY</v>
      </c>
      <c r="J213" s="2" t="str">
        <f>TRIM(CLEAN(SUBSTITUTE(B213,CHAR(10)," ")))</f>
        <v>Willowbrook Mall</v>
      </c>
      <c r="K213" s="3" t="str">
        <f>PROPER(TRIM(C213))</f>
        <v>Houston</v>
      </c>
      <c r="L213" s="8" t="s">
        <v>20</v>
      </c>
      <c r="M213" t="str">
        <f>IF(OR(UPPER(E213)="UNITED STATES",UPPER(E213)="UNITED STATES OF AMERICA",UPPER(E213)="US",UPPER(E213)="USA"),"USA",E213)</f>
        <v>USA</v>
      </c>
      <c r="N213" t="str" cm="1">
        <f t="array" ref="N213">_xlfn.REGEXEXTRACT(F213,"\d{5}")</f>
        <v>77070</v>
      </c>
    </row>
    <row r="214" spans="1:14" ht="36" x14ac:dyDescent="0.15">
      <c r="A214" s="2" t="s">
        <v>803</v>
      </c>
      <c r="B214" s="2" t="s">
        <v>804</v>
      </c>
      <c r="C214" s="2" t="s">
        <v>805</v>
      </c>
      <c r="D214" s="2" t="s">
        <v>797</v>
      </c>
      <c r="E214" s="2"/>
      <c r="F214" s="2"/>
      <c r="G214" s="2"/>
      <c r="H214" s="2"/>
      <c r="I214" s="2" t="str">
        <f>TRIM(CLEAN(SUBSTITUTE(A214,CHAR(10)," ")))</f>
        <v>Harmony school of techonolgy</v>
      </c>
      <c r="J214" s="2" t="str">
        <f>TRIM(CLEAN(SUBSTITUTE(B214,CHAR(10)," ")))</f>
        <v>9321 West Sam Houston Parkway S,</v>
      </c>
      <c r="K214" s="10" t="s">
        <v>29</v>
      </c>
      <c r="L214" s="8" t="s">
        <v>20</v>
      </c>
      <c r="M214">
        <f>IF(OR(UPPER(E214)="UNITED STATES",UPPER(E214)="UNITED STATES OF AMERICA",UPPER(E214)="US",UPPER(E214)="USA"),"USA",E214)</f>
        <v>0</v>
      </c>
      <c r="N214" t="e" cm="1" vm="1">
        <f t="array" ref="N214">_xlfn.REGEXEXTRACT(F214,"\d{5}")</f>
        <v>#N/A</v>
      </c>
    </row>
    <row r="215" spans="1:14" ht="36" x14ac:dyDescent="0.15">
      <c r="A215" s="2" t="s">
        <v>1090</v>
      </c>
      <c r="B215" s="2" t="s">
        <v>1091</v>
      </c>
      <c r="C215" s="2" t="s">
        <v>1092</v>
      </c>
      <c r="D215" s="2" t="s">
        <v>1093</v>
      </c>
      <c r="E215" s="2" t="s">
        <v>10</v>
      </c>
      <c r="F215" s="2" t="s">
        <v>1094</v>
      </c>
      <c r="G215" s="2"/>
      <c r="H215" s="2"/>
      <c r="I215" s="2" t="str">
        <f>TRIM(CLEAN(SUBSTITUTE(A215,CHAR(10)," ")))</f>
        <v>HUBER MART</v>
      </c>
      <c r="J215" s="2" t="str">
        <f>TRIM(CLEAN(SUBSTITUTE(B215,CHAR(10)," ")))</f>
        <v>6640 BRANDT PIKE</v>
      </c>
      <c r="K215" s="3" t="str">
        <f>PROPER(TRIM(C215))</f>
        <v>Huber Heights</v>
      </c>
      <c r="L215" t="str">
        <f>UPPER(LEFT(TRIM(D215),2))</f>
        <v>OH</v>
      </c>
      <c r="M215" t="str">
        <f>IF(OR(UPPER(E215)="UNITED STATES",UPPER(E215)="UNITED STATES OF AMERICA",UPPER(E215)="US",UPPER(E215)="USA"),"USA",E215)</f>
        <v>USA</v>
      </c>
      <c r="N215" t="str" cm="1">
        <f t="array" ref="N215">_xlfn.REGEXEXTRACT(F215,"\d{5}")</f>
        <v>45424</v>
      </c>
    </row>
    <row r="216" spans="1:14" ht="48" x14ac:dyDescent="0.15">
      <c r="A216" s="2" t="s">
        <v>141</v>
      </c>
      <c r="B216" s="2" t="s">
        <v>142</v>
      </c>
      <c r="C216" s="2" t="s">
        <v>143</v>
      </c>
      <c r="D216" s="2" t="s">
        <v>144</v>
      </c>
      <c r="E216" s="2" t="s">
        <v>10</v>
      </c>
      <c r="F216" s="2" t="s">
        <v>145</v>
      </c>
      <c r="G216" s="2"/>
      <c r="H216" s="2"/>
      <c r="I216" s="2" t="str">
        <f>TRIM(CLEAN(SUBSTITUTE(A216,CHAR(10)," ")))</f>
        <v>CDW Convenience Demand Wholesale</v>
      </c>
      <c r="J216" s="2" t="str">
        <f>TRIM(CLEAN(SUBSTITUTE(B216,CHAR(10)," ")))</f>
        <v>418 Jordan Ln NW Suite A</v>
      </c>
      <c r="K216" s="3" t="str">
        <f>PROPER(TRIM(C216))</f>
        <v>Huntsville</v>
      </c>
      <c r="L216" t="str">
        <f>UPPER(LEFT(TRIM(D216),2))</f>
        <v>AL</v>
      </c>
      <c r="M216" t="str">
        <f>IF(OR(UPPER(E216)="UNITED STATES",UPPER(E216)="UNITED STATES OF AMERICA",UPPER(E216)="US",UPPER(E216)="USA"),"USA",E216)</f>
        <v>USA</v>
      </c>
      <c r="N216" t="str" cm="1">
        <f t="array" ref="N216">_xlfn.REGEXEXTRACT(F216,"\d{5}")</f>
        <v>35805</v>
      </c>
    </row>
    <row r="217" spans="1:14" ht="36" x14ac:dyDescent="0.15">
      <c r="A217" s="2" t="s">
        <v>1098</v>
      </c>
      <c r="B217" s="2" t="s">
        <v>1099</v>
      </c>
      <c r="C217" s="2" t="s">
        <v>143</v>
      </c>
      <c r="D217" s="2" t="s">
        <v>20</v>
      </c>
      <c r="E217" s="2" t="s">
        <v>10</v>
      </c>
      <c r="F217" s="2" t="s">
        <v>1100</v>
      </c>
      <c r="G217" s="2"/>
      <c r="H217" s="2"/>
      <c r="I217" s="2" t="str">
        <f>TRIM(CLEAN(SUBSTITUTE(A217,CHAR(10)," ")))</f>
        <v>Huntsville Wholesale Grocers, Inc.</v>
      </c>
      <c r="J217" s="2" t="str">
        <f>TRIM(CLEAN(SUBSTITUTE(B217,CHAR(10)," ")))</f>
        <v>904 US-190, Huntsville</v>
      </c>
      <c r="K217" s="3" t="str">
        <f>PROPER(TRIM(C217))</f>
        <v>Huntsville</v>
      </c>
      <c r="L217" t="str">
        <f>UPPER(LEFT(TRIM(D217),2))</f>
        <v>TX</v>
      </c>
      <c r="M217" t="str">
        <f>IF(OR(UPPER(E217)="UNITED STATES",UPPER(E217)="UNITED STATES OF AMERICA",UPPER(E217)="US",UPPER(E217)="USA"),"USA",E217)</f>
        <v>USA</v>
      </c>
      <c r="N217" t="str" cm="1">
        <f t="array" ref="N217">_xlfn.REGEXEXTRACT(F217,"\d{5}")</f>
        <v>77340</v>
      </c>
    </row>
    <row r="218" spans="1:14" ht="36" x14ac:dyDescent="0.15">
      <c r="A218" s="2" t="s">
        <v>656</v>
      </c>
      <c r="B218" s="2" t="s">
        <v>657</v>
      </c>
      <c r="C218" s="2" t="s">
        <v>309</v>
      </c>
      <c r="D218" s="2" t="s">
        <v>15</v>
      </c>
      <c r="E218" s="2" t="s">
        <v>10</v>
      </c>
      <c r="F218" s="2" t="s">
        <v>658</v>
      </c>
      <c r="G218" s="2"/>
      <c r="H218" s="2"/>
      <c r="I218" s="2" t="str">
        <f>TRIM(CLEAN(SUBSTITUTE(A218,CHAR(10)," ")))</f>
        <v>Di Rosanis Italian Restaurant</v>
      </c>
      <c r="J218" s="2" t="str">
        <f>TRIM(CLEAN(SUBSTITUTE(B218,CHAR(10)," ")))</f>
        <v>105 S Main St, Irving, TX 75060</v>
      </c>
      <c r="K218" s="3" t="str">
        <f>PROPER(TRIM(C218))</f>
        <v>Irving</v>
      </c>
      <c r="L218" t="str">
        <f>UPPER(LEFT(TRIM(D218),2))</f>
        <v>TX</v>
      </c>
      <c r="M218" t="str">
        <f>IF(OR(UPPER(E218)="UNITED STATES",UPPER(E218)="UNITED STATES OF AMERICA",UPPER(E218)="US",UPPER(E218)="USA"),"USA",E218)</f>
        <v>USA</v>
      </c>
      <c r="N218" t="str" cm="1">
        <f t="array" ref="N218">_xlfn.REGEXEXTRACT(F218,"\d{5}")</f>
        <v>75060</v>
      </c>
    </row>
    <row r="219" spans="1:14" ht="24" x14ac:dyDescent="0.15">
      <c r="A219" s="2" t="s">
        <v>455</v>
      </c>
      <c r="B219" s="2" t="s">
        <v>456</v>
      </c>
      <c r="C219" s="2" t="s">
        <v>177</v>
      </c>
      <c r="D219" s="2" t="s">
        <v>20</v>
      </c>
      <c r="E219" s="2" t="s">
        <v>10</v>
      </c>
      <c r="F219" s="2" t="s">
        <v>178</v>
      </c>
      <c r="G219" s="2"/>
      <c r="H219" s="2"/>
      <c r="I219" s="2" t="str">
        <f>TRIM(CLEAN(SUBSTITUTE(A219,CHAR(10)," ")))</f>
        <v>INDIA IMPORTS</v>
      </c>
      <c r="J219" s="2" t="str">
        <f>TRIM(CLEAN(SUBSTITUTE(B219,CHAR(10)," ")))</f>
        <v>2521 W Airport Fwy</v>
      </c>
      <c r="K219" s="3" t="str">
        <f>PROPER(TRIM(C219))</f>
        <v>Irving</v>
      </c>
      <c r="L219" t="str">
        <f>UPPER(LEFT(TRIM(D219),2))</f>
        <v>TX</v>
      </c>
      <c r="M219" t="str">
        <f>IF(OR(UPPER(E219)="UNITED STATES",UPPER(E219)="UNITED STATES OF AMERICA",UPPER(E219)="US",UPPER(E219)="USA"),"USA",E219)</f>
        <v>USA</v>
      </c>
      <c r="N219" t="str" cm="1">
        <f t="array" ref="N219">_xlfn.REGEXEXTRACT(F219,"\d{5}")</f>
        <v>75062</v>
      </c>
    </row>
    <row r="220" spans="1:14" ht="36" x14ac:dyDescent="0.15">
      <c r="A220" s="2" t="s">
        <v>426</v>
      </c>
      <c r="B220" s="2" t="s">
        <v>427</v>
      </c>
      <c r="C220" s="2" t="s">
        <v>177</v>
      </c>
      <c r="D220" s="2" t="s">
        <v>20</v>
      </c>
      <c r="E220" s="2" t="s">
        <v>10</v>
      </c>
      <c r="F220" s="2" t="s">
        <v>178</v>
      </c>
      <c r="G220" s="2"/>
      <c r="H220" s="2"/>
      <c r="I220" s="2" t="str">
        <f>TRIM(CLEAN(SUBSTITUTE(A220,CHAR(10)," ")))</f>
        <v>Hadramout Restaurant</v>
      </c>
      <c r="J220" s="2" t="str">
        <f>TRIM(CLEAN(SUBSTITUTE(B220,CHAR(10)," ")))</f>
        <v>3401 W Airport Fwy suite 102</v>
      </c>
      <c r="K220" s="3" t="str">
        <f>PROPER(TRIM(C220))</f>
        <v>Irving</v>
      </c>
      <c r="L220" t="str">
        <f>UPPER(LEFT(TRIM(D220),2))</f>
        <v>TX</v>
      </c>
      <c r="M220" t="str">
        <f>IF(OR(UPPER(E220)="UNITED STATES",UPPER(E220)="UNITED STATES OF AMERICA",UPPER(E220)="US",UPPER(E220)="USA"),"USA",E220)</f>
        <v>USA</v>
      </c>
      <c r="N220" t="str" cm="1">
        <f t="array" ref="N220">_xlfn.REGEXEXTRACT(F220,"\d{5}")</f>
        <v>75062</v>
      </c>
    </row>
    <row r="221" spans="1:14" ht="36" x14ac:dyDescent="0.15">
      <c r="A221" s="2" t="s">
        <v>622</v>
      </c>
      <c r="B221" s="2" t="s">
        <v>623</v>
      </c>
      <c r="C221" s="2" t="s">
        <v>177</v>
      </c>
      <c r="D221" s="2" t="s">
        <v>20</v>
      </c>
      <c r="E221" s="2" t="s">
        <v>10</v>
      </c>
      <c r="F221" s="2" t="s">
        <v>178</v>
      </c>
      <c r="G221" s="2"/>
      <c r="H221" s="2"/>
      <c r="I221" s="2" t="str">
        <f>TRIM(CLEAN(SUBSTITUTE(A221,CHAR(10)," ")))</f>
        <v>TEXAS KING Restaurant &amp; Meat</v>
      </c>
      <c r="J221" s="2" t="str">
        <f>TRIM(CLEAN(SUBSTITUTE(B221,CHAR(10)," ")))</f>
        <v>3455 N Belt Line Rd #103</v>
      </c>
      <c r="K221" s="3" t="str">
        <f>PROPER(TRIM(C221))</f>
        <v>Irving</v>
      </c>
      <c r="L221" t="str">
        <f>UPPER(LEFT(TRIM(D221),2))</f>
        <v>TX</v>
      </c>
      <c r="M221" t="str">
        <f>IF(OR(UPPER(E221)="UNITED STATES",UPPER(E221)="UNITED STATES OF AMERICA",UPPER(E221)="US",UPPER(E221)="USA"),"USA",E221)</f>
        <v>USA</v>
      </c>
      <c r="N221" t="str" cm="1">
        <f t="array" ref="N221">_xlfn.REGEXEXTRACT(F221,"\d{5}")</f>
        <v>75062</v>
      </c>
    </row>
    <row r="222" spans="1:14" ht="36" x14ac:dyDescent="0.15">
      <c r="A222" s="2" t="s">
        <v>307</v>
      </c>
      <c r="B222" s="2" t="s">
        <v>308</v>
      </c>
      <c r="C222" s="2" t="s">
        <v>309</v>
      </c>
      <c r="D222" s="2" t="s">
        <v>20</v>
      </c>
      <c r="E222" s="2" t="s">
        <v>10</v>
      </c>
      <c r="F222" s="2" t="s">
        <v>178</v>
      </c>
      <c r="G222" s="2"/>
      <c r="H222" s="2"/>
      <c r="I222" s="2" t="str">
        <f>TRIM(CLEAN(SUBSTITUTE(A222,CHAR(10)," ")))</f>
        <v>Candy Zone Inc</v>
      </c>
      <c r="J222" s="2" t="str">
        <f>TRIM(CLEAN(SUBSTITUTE(B222,CHAR(10)," ")))</f>
        <v>3803 Irving mall , Store : 7506</v>
      </c>
      <c r="K222" s="3" t="str">
        <f>PROPER(TRIM(C222))</f>
        <v>Irving</v>
      </c>
      <c r="L222" t="str">
        <f>UPPER(LEFT(TRIM(D222),2))</f>
        <v>TX</v>
      </c>
      <c r="M222" t="str">
        <f>IF(OR(UPPER(E222)="UNITED STATES",UPPER(E222)="UNITED STATES OF AMERICA",UPPER(E222)="US",UPPER(E222)="USA"),"USA",E222)</f>
        <v>USA</v>
      </c>
      <c r="N222" t="str" cm="1">
        <f t="array" ref="N222">_xlfn.REGEXEXTRACT(F222,"\d{5}")</f>
        <v>75062</v>
      </c>
    </row>
    <row r="223" spans="1:14" ht="24" x14ac:dyDescent="0.15">
      <c r="A223" s="2" t="s">
        <v>175</v>
      </c>
      <c r="B223" s="2" t="s">
        <v>176</v>
      </c>
      <c r="C223" s="2" t="s">
        <v>177</v>
      </c>
      <c r="D223" s="2" t="s">
        <v>20</v>
      </c>
      <c r="E223" s="2"/>
      <c r="F223" s="2" t="s">
        <v>178</v>
      </c>
      <c r="G223" s="2"/>
      <c r="H223" s="2"/>
      <c r="I223" s="2" t="str">
        <f>TRIM(CLEAN(SUBSTITUTE(A223,CHAR(10)," ")))</f>
        <v>Crep &amp; Cup</v>
      </c>
      <c r="J223" s="2" t="str">
        <f>TRIM(CLEAN(SUBSTITUTE(B223,CHAR(10)," ")))</f>
        <v>3842 Irving Mall</v>
      </c>
      <c r="K223" s="3" t="str">
        <f>PROPER(TRIM(C223))</f>
        <v>Irving</v>
      </c>
      <c r="L223" t="str">
        <f>UPPER(LEFT(TRIM(D223),2))</f>
        <v>TX</v>
      </c>
      <c r="M223">
        <f>IF(OR(UPPER(E223)="UNITED STATES",UPPER(E223)="UNITED STATES OF AMERICA",UPPER(E223)="US",UPPER(E223)="USA"),"USA",E223)</f>
        <v>0</v>
      </c>
      <c r="N223" t="str" cm="1">
        <f t="array" ref="N223">_xlfn.REGEXEXTRACT(F223,"\d{5}")</f>
        <v>75062</v>
      </c>
    </row>
    <row r="224" spans="1:14" ht="36" x14ac:dyDescent="0.15">
      <c r="A224" s="2" t="s">
        <v>550</v>
      </c>
      <c r="B224" s="2" t="s">
        <v>551</v>
      </c>
      <c r="C224" s="2" t="s">
        <v>552</v>
      </c>
      <c r="D224" s="2" t="s">
        <v>20</v>
      </c>
      <c r="E224" s="2" t="s">
        <v>10</v>
      </c>
      <c r="F224" s="2" t="s">
        <v>340</v>
      </c>
      <c r="G224" s="2"/>
      <c r="H224" s="2"/>
      <c r="I224" s="2" t="str">
        <f>TRIM(CLEAN(SUBSTITUTE(A224,CHAR(10)," ")))</f>
        <v>Port coffee co</v>
      </c>
      <c r="J224" s="2" t="str">
        <f>TRIM(CLEAN(SUBSTITUTE(B224,CHAR(10)," ")))</f>
        <v>411 E Royal LN 130 irving Tx</v>
      </c>
      <c r="K224" s="3" t="str">
        <f>PROPER(TRIM(C224))</f>
        <v>Irving</v>
      </c>
      <c r="L224" t="str">
        <f>UPPER(LEFT(TRIM(D224),2))</f>
        <v>TX</v>
      </c>
      <c r="M224" t="str">
        <f>IF(OR(UPPER(E224)="UNITED STATES",UPPER(E224)="UNITED STATES OF AMERICA",UPPER(E224)="US",UPPER(E224)="USA"),"USA",E224)</f>
        <v>USA</v>
      </c>
      <c r="N224" t="str" cm="1">
        <f t="array" ref="N224">_xlfn.REGEXEXTRACT(F224,"\d{5}")</f>
        <v>75039</v>
      </c>
    </row>
    <row r="225" spans="1:14" ht="36" x14ac:dyDescent="0.15">
      <c r="A225" s="2" t="s">
        <v>1330</v>
      </c>
      <c r="B225" s="2" t="s">
        <v>1331</v>
      </c>
      <c r="C225" s="2" t="s">
        <v>552</v>
      </c>
      <c r="D225" s="2" t="s">
        <v>20</v>
      </c>
      <c r="E225" s="2" t="s">
        <v>10</v>
      </c>
      <c r="F225" s="2" t="s">
        <v>1332</v>
      </c>
      <c r="G225" s="2"/>
      <c r="H225" s="2"/>
      <c r="I225" s="2" t="str">
        <f>TRIM(CLEAN(SUBSTITUTE(A225,CHAR(10)," ")))</f>
        <v>SARIGAMA INDIAN CAFE</v>
      </c>
      <c r="J225" s="2" t="str">
        <f>TRIM(CLEAN(SUBSTITUTE(B225,CHAR(10)," ")))</f>
        <v>5427 N MAC ARTHUR BLVD</v>
      </c>
      <c r="K225" s="3" t="str">
        <f>PROPER(TRIM(C225))</f>
        <v>Irving</v>
      </c>
      <c r="L225" t="str">
        <f>UPPER(LEFT(TRIM(D225),2))</f>
        <v>TX</v>
      </c>
      <c r="M225" t="str">
        <f>IF(OR(UPPER(E225)="UNITED STATES",UPPER(E225)="UNITED STATES OF AMERICA",UPPER(E225)="US",UPPER(E225)="USA"),"USA",E225)</f>
        <v>USA</v>
      </c>
      <c r="N225" t="str" cm="1">
        <f t="array" ref="N225">_xlfn.REGEXEXTRACT(F225,"\d{5}")</f>
        <v>75038</v>
      </c>
    </row>
    <row r="226" spans="1:14" ht="36" x14ac:dyDescent="0.15">
      <c r="A226" s="2" t="s">
        <v>1333</v>
      </c>
      <c r="B226" s="2" t="s">
        <v>1331</v>
      </c>
      <c r="C226" s="2" t="s">
        <v>552</v>
      </c>
      <c r="D226" s="2" t="s">
        <v>20</v>
      </c>
      <c r="E226" s="2" t="s">
        <v>10</v>
      </c>
      <c r="F226" s="2" t="s">
        <v>1332</v>
      </c>
      <c r="G226" s="2"/>
      <c r="H226" s="2"/>
      <c r="I226" s="2" t="str">
        <f>TRIM(CLEAN(SUBSTITUTE(A226,CHAR(10)," ")))</f>
        <v>SARIGAMA INDIAN CAFE 2</v>
      </c>
      <c r="J226" s="2" t="str">
        <f>TRIM(CLEAN(SUBSTITUTE(B226,CHAR(10)," ")))</f>
        <v>5427 N MAC ARTHUR BLVD</v>
      </c>
      <c r="K226" s="3" t="str">
        <f>PROPER(TRIM(C226))</f>
        <v>Irving</v>
      </c>
      <c r="L226" t="str">
        <f>UPPER(LEFT(TRIM(D226),2))</f>
        <v>TX</v>
      </c>
      <c r="M226" t="str">
        <f>IF(OR(UPPER(E226)="UNITED STATES",UPPER(E226)="UNITED STATES OF AMERICA",UPPER(E226)="US",UPPER(E226)="USA"),"USA",E226)</f>
        <v>USA</v>
      </c>
      <c r="N226" t="str" cm="1">
        <f t="array" ref="N226">_xlfn.REGEXEXTRACT(F226,"\d{5}")</f>
        <v>75038</v>
      </c>
    </row>
    <row r="227" spans="1:14" ht="36" x14ac:dyDescent="0.15">
      <c r="A227" s="2" t="s">
        <v>338</v>
      </c>
      <c r="B227" s="2" t="s">
        <v>339</v>
      </c>
      <c r="C227" s="2" t="s">
        <v>177</v>
      </c>
      <c r="D227" s="2" t="s">
        <v>20</v>
      </c>
      <c r="E227" s="2" t="s">
        <v>10</v>
      </c>
      <c r="F227" s="2" t="s">
        <v>340</v>
      </c>
      <c r="G227" s="2"/>
      <c r="H227" s="2"/>
      <c r="I227" s="2" t="str">
        <f>TRIM(CLEAN(SUBSTITUTE(A227,CHAR(10)," ")))</f>
        <v>Desi District Irving</v>
      </c>
      <c r="J227" s="2" t="str">
        <f>TRIM(CLEAN(SUBSTITUTE(B227,CHAR(10)," ")))</f>
        <v>6451 Riverside Dr #100</v>
      </c>
      <c r="K227" s="3" t="str">
        <f>PROPER(TRIM(C227))</f>
        <v>Irving</v>
      </c>
      <c r="L227" t="str">
        <f>UPPER(LEFT(TRIM(D227),2))</f>
        <v>TX</v>
      </c>
      <c r="M227" t="str">
        <f>IF(OR(UPPER(E227)="UNITED STATES",UPPER(E227)="UNITED STATES OF AMERICA",UPPER(E227)="US",UPPER(E227)="USA"),"USA",E227)</f>
        <v>USA</v>
      </c>
      <c r="N227" t="str" cm="1">
        <f t="array" ref="N227">_xlfn.REGEXEXTRACT(F227,"\d{5}")</f>
        <v>75039</v>
      </c>
    </row>
    <row r="228" spans="1:14" ht="36" x14ac:dyDescent="0.15">
      <c r="A228" s="2" t="s">
        <v>1338</v>
      </c>
      <c r="B228" s="2" t="s">
        <v>1339</v>
      </c>
      <c r="C228" s="2" t="s">
        <v>552</v>
      </c>
      <c r="D228" s="2" t="s">
        <v>20</v>
      </c>
      <c r="E228" s="2" t="s">
        <v>10</v>
      </c>
      <c r="F228" s="2" t="s">
        <v>1340</v>
      </c>
      <c r="G228" s="2"/>
      <c r="H228" s="2"/>
      <c r="I228" s="2" t="str">
        <f>TRIM(CLEAN(SUBSTITUTE(A228,CHAR(10)," ")))</f>
        <v>SELDA LAS COLINAS</v>
      </c>
      <c r="J228" s="2" t="str">
        <f>TRIM(CLEAN(SUBSTITUTE(B228,CHAR(10)," ")))</f>
        <v>7750 N MACARTHUR BLVD</v>
      </c>
      <c r="K228" s="3" t="str">
        <f>PROPER(TRIM(C228))</f>
        <v>Irving</v>
      </c>
      <c r="L228" t="str">
        <f>UPPER(LEFT(TRIM(D228),2))</f>
        <v>TX</v>
      </c>
      <c r="M228" t="str">
        <f>IF(OR(UPPER(E228)="UNITED STATES",UPPER(E228)="UNITED STATES OF AMERICA",UPPER(E228)="US",UPPER(E228)="USA"),"USA",E228)</f>
        <v>USA</v>
      </c>
      <c r="N228" t="str" cm="1">
        <f t="array" ref="N228">_xlfn.REGEXEXTRACT(F228,"\d{5}")</f>
        <v>75063</v>
      </c>
    </row>
    <row r="229" spans="1:14" ht="24" x14ac:dyDescent="0.15">
      <c r="A229" s="2" t="s">
        <v>1394</v>
      </c>
      <c r="B229" s="2" t="s">
        <v>1395</v>
      </c>
      <c r="C229" s="2" t="s">
        <v>1396</v>
      </c>
      <c r="D229" s="2" t="s">
        <v>1397</v>
      </c>
      <c r="E229" s="2" t="s">
        <v>10</v>
      </c>
      <c r="F229" s="2" t="s">
        <v>1398</v>
      </c>
      <c r="G229" s="2"/>
      <c r="H229" s="2"/>
      <c r="I229" s="2" t="str">
        <f>TRIM(CLEAN(SUBSTITUTE(A229,CHAR(10)," ")))</f>
        <v>Zanobia grocery</v>
      </c>
      <c r="J229" s="2" t="str">
        <f>TRIM(CLEAN(SUBSTITUTE(B229,CHAR(10)," ")))</f>
        <v>110 n range line rd</v>
      </c>
      <c r="K229" s="3" t="str">
        <f>PROPER(TRIM(C229))</f>
        <v>Joplin</v>
      </c>
      <c r="L229" t="str">
        <f>UPPER(LEFT(TRIM(D229),2))</f>
        <v>MO</v>
      </c>
      <c r="M229" t="str">
        <f>IF(OR(UPPER(E229)="UNITED STATES",UPPER(E229)="UNITED STATES OF AMERICA",UPPER(E229)="US",UPPER(E229)="USA"),"USA",E229)</f>
        <v>USA</v>
      </c>
      <c r="N229" t="str" cm="1">
        <f t="array" ref="N229">_xlfn.REGEXEXTRACT(F229,"\d{5}")</f>
        <v>64801</v>
      </c>
    </row>
    <row r="230" spans="1:14" ht="24" x14ac:dyDescent="0.15">
      <c r="A230" s="2" t="s">
        <v>706</v>
      </c>
      <c r="B230" s="2" t="s">
        <v>707</v>
      </c>
      <c r="C230" s="2" t="s">
        <v>708</v>
      </c>
      <c r="D230" s="2" t="s">
        <v>20</v>
      </c>
      <c r="E230" s="2" t="s">
        <v>10</v>
      </c>
      <c r="F230" s="2" t="s">
        <v>709</v>
      </c>
      <c r="G230" s="2"/>
      <c r="H230" s="2"/>
      <c r="I230" s="2" t="str">
        <f>TRIM(CLEAN(SUBSTITUTE(A230,CHAR(10)," ")))</f>
        <v>Gordo's Travel Center</v>
      </c>
      <c r="J230" s="2" t="str">
        <f>TRIM(CLEAN(SUBSTITUTE(B230,CHAR(10)," ")))</f>
        <v>2437 N Main St</v>
      </c>
      <c r="K230" s="3" t="str">
        <f>PROPER(TRIM(C230))</f>
        <v>Junction</v>
      </c>
      <c r="L230" t="str">
        <f>UPPER(LEFT(TRIM(D230),2))</f>
        <v>TX</v>
      </c>
      <c r="M230" t="str">
        <f>IF(OR(UPPER(E230)="UNITED STATES",UPPER(E230)="UNITED STATES OF AMERICA",UPPER(E230)="US",UPPER(E230)="USA"),"USA",E230)</f>
        <v>USA</v>
      </c>
      <c r="N230" t="str" cm="1">
        <f t="array" ref="N230">_xlfn.REGEXEXTRACT(F230,"\d{5}")</f>
        <v>76849</v>
      </c>
    </row>
    <row r="231" spans="1:14" ht="36" x14ac:dyDescent="0.15">
      <c r="A231" s="2" t="s">
        <v>1122</v>
      </c>
      <c r="B231" s="2" t="s">
        <v>1123</v>
      </c>
      <c r="C231" s="2" t="s">
        <v>1124</v>
      </c>
      <c r="D231" s="2" t="s">
        <v>1125</v>
      </c>
      <c r="E231" s="2"/>
      <c r="F231" s="2" t="s">
        <v>1126</v>
      </c>
      <c r="G231" s="2"/>
      <c r="H231" s="2"/>
      <c r="I231" s="2" t="str">
        <f>TRIM(CLEAN(SUBSTITUTE(A231,CHAR(10)," ")))</f>
        <v>Kansas City Raindrop Foundation</v>
      </c>
      <c r="J231" s="2" t="str">
        <f>TRIM(CLEAN(SUBSTITUTE(B231,CHAR(10)," ")))</f>
        <v>4215 Shawnee Dr</v>
      </c>
      <c r="K231" s="3" t="str">
        <f>PROPER(TRIM(C231))</f>
        <v>Kansas City</v>
      </c>
      <c r="L231" t="str">
        <f>UPPER(LEFT(TRIM(D231),2))</f>
        <v>KS</v>
      </c>
      <c r="M231">
        <f>IF(OR(UPPER(E231)="UNITED STATES",UPPER(E231)="UNITED STATES OF AMERICA",UPPER(E231)="US",UPPER(E231)="USA"),"USA",E231)</f>
        <v>0</v>
      </c>
      <c r="N231" t="str" cm="1">
        <f t="array" ref="N231">_xlfn.REGEXEXTRACT(F231,"\d{5}")</f>
        <v>66106</v>
      </c>
    </row>
    <row r="232" spans="1:14" ht="36" x14ac:dyDescent="0.15">
      <c r="A232" s="2" t="s">
        <v>1075</v>
      </c>
      <c r="B232" s="2" t="s">
        <v>1076</v>
      </c>
      <c r="C232" s="2" t="s">
        <v>794</v>
      </c>
      <c r="D232" s="2" t="s">
        <v>20</v>
      </c>
      <c r="E232" s="2" t="s">
        <v>10</v>
      </c>
      <c r="F232" s="2" t="s">
        <v>781</v>
      </c>
      <c r="G232" s="2"/>
      <c r="H232" s="2"/>
      <c r="I232" s="2" t="str">
        <f>TRIM(CLEAN(SUBSTITUTE(A232,CHAR(10)," ")))</f>
        <v>Vogs coffe house</v>
      </c>
      <c r="J232" s="2" t="str">
        <f>TRIM(CLEAN(SUBSTITUTE(B232,CHAR(10)," ")))</f>
        <v>10610 Gaston RD STE 190 KATY</v>
      </c>
      <c r="K232" s="3" t="str">
        <f>PROPER(TRIM(C232))</f>
        <v>Katy</v>
      </c>
      <c r="L232" t="str">
        <f>UPPER(LEFT(TRIM(D232),2))</f>
        <v>TX</v>
      </c>
      <c r="M232" t="str">
        <f>IF(OR(UPPER(E232)="UNITED STATES",UPPER(E232)="UNITED STATES OF AMERICA",UPPER(E232)="US",UPPER(E232)="USA"),"USA",E232)</f>
        <v>USA</v>
      </c>
      <c r="N232" t="str" cm="1">
        <f t="array" ref="N232">_xlfn.REGEXEXTRACT(F232,"\d{5}")</f>
        <v>77494</v>
      </c>
    </row>
    <row r="233" spans="1:14" ht="24" x14ac:dyDescent="0.15">
      <c r="A233" s="2" t="s">
        <v>822</v>
      </c>
      <c r="B233" s="2" t="s">
        <v>823</v>
      </c>
      <c r="C233" s="2" t="s">
        <v>742</v>
      </c>
      <c r="D233" s="2" t="s">
        <v>20</v>
      </c>
      <c r="E233" s="2" t="s">
        <v>10</v>
      </c>
      <c r="F233" s="2" t="s">
        <v>824</v>
      </c>
      <c r="G233" s="2"/>
      <c r="H233" s="2"/>
      <c r="I233" s="2" t="str">
        <f>TRIM(CLEAN(SUBSTITUTE(A233,CHAR(10)," ")))</f>
        <v>Kebab Time (Food Truck)</v>
      </c>
      <c r="J233" s="2" t="str">
        <f>TRIM(CLEAN(SUBSTITUTE(B233,CHAR(10)," ")))</f>
        <v>1989 N Fry Rd</v>
      </c>
      <c r="K233" s="3" t="str">
        <f>PROPER(TRIM(C233))</f>
        <v>Katy</v>
      </c>
      <c r="L233" t="str">
        <f>UPPER(LEFT(TRIM(D233),2))</f>
        <v>TX</v>
      </c>
      <c r="M233" t="str">
        <f>IF(OR(UPPER(E233)="UNITED STATES",UPPER(E233)="UNITED STATES OF AMERICA",UPPER(E233)="US",UPPER(E233)="USA"),"USA",E233)</f>
        <v>USA</v>
      </c>
      <c r="N233" t="str" cm="1">
        <f t="array" ref="N233">_xlfn.REGEXEXTRACT(F233,"\d{5}")</f>
        <v>77449</v>
      </c>
    </row>
    <row r="234" spans="1:14" ht="24" x14ac:dyDescent="0.15">
      <c r="A234" s="2" t="s">
        <v>956</v>
      </c>
      <c r="B234" s="2" t="s">
        <v>957</v>
      </c>
      <c r="C234" s="2" t="s">
        <v>742</v>
      </c>
      <c r="D234" s="2" t="s">
        <v>20</v>
      </c>
      <c r="E234" s="2" t="s">
        <v>10</v>
      </c>
      <c r="F234" s="2" t="s">
        <v>824</v>
      </c>
      <c r="G234" s="2"/>
      <c r="H234" s="2"/>
      <c r="I234" s="2" t="str">
        <f>TRIM(CLEAN(SUBSTITUTE(A234,CHAR(10)," ")))</f>
        <v>Fadi's - Katy</v>
      </c>
      <c r="J234" s="2" t="str">
        <f>TRIM(CLEAN(SUBSTITUTE(B234,CHAR(10)," ")))</f>
        <v>21792 Katy Fwy</v>
      </c>
      <c r="K234" s="3" t="str">
        <f>PROPER(TRIM(C234))</f>
        <v>Katy</v>
      </c>
      <c r="L234" t="str">
        <f>UPPER(LEFT(TRIM(D234),2))</f>
        <v>TX</v>
      </c>
      <c r="M234" t="str">
        <f>IF(OR(UPPER(E234)="UNITED STATES",UPPER(E234)="UNITED STATES OF AMERICA",UPPER(E234)="US",UPPER(E234)="USA"),"USA",E234)</f>
        <v>USA</v>
      </c>
      <c r="N234" t="str" cm="1">
        <f t="array" ref="N234">_xlfn.REGEXEXTRACT(F234,"\d{5}")</f>
        <v>77449</v>
      </c>
    </row>
    <row r="235" spans="1:14" ht="48" x14ac:dyDescent="0.15">
      <c r="A235" s="2" t="s">
        <v>923</v>
      </c>
      <c r="B235" s="2" t="s">
        <v>924</v>
      </c>
      <c r="C235" s="2" t="s">
        <v>794</v>
      </c>
      <c r="D235" s="2" t="s">
        <v>20</v>
      </c>
      <c r="E235" s="2" t="s">
        <v>10</v>
      </c>
      <c r="F235" s="2" t="s">
        <v>781</v>
      </c>
      <c r="G235" s="2"/>
      <c r="H235" s="2"/>
      <c r="I235" s="2" t="str">
        <f>TRIM(CLEAN(SUBSTITUTE(A235,CHAR(10)," ")))</f>
        <v>Bazaar Istanbul</v>
      </c>
      <c r="J235" s="2" t="str">
        <f>TRIM(CLEAN(SUBSTITUTE(B235,CHAR(10)," ")))</f>
        <v>25600 Westheimer Pkwy, Katy, TX 77494</v>
      </c>
      <c r="K235" s="3" t="str">
        <f>PROPER(TRIM(C235))</f>
        <v>Katy</v>
      </c>
      <c r="L235" t="str">
        <f>UPPER(LEFT(TRIM(D235),2))</f>
        <v>TX</v>
      </c>
      <c r="M235" t="str">
        <f>IF(OR(UPPER(E235)="UNITED STATES",UPPER(E235)="UNITED STATES OF AMERICA",UPPER(E235)="US",UPPER(E235)="USA"),"USA",E235)</f>
        <v>USA</v>
      </c>
      <c r="N235" t="str" cm="1">
        <f t="array" ref="N235">_xlfn.REGEXEXTRACT(F235,"\d{5}")</f>
        <v>77494</v>
      </c>
    </row>
    <row r="236" spans="1:14" ht="36" x14ac:dyDescent="0.15">
      <c r="A236" s="2" t="s">
        <v>740</v>
      </c>
      <c r="B236" s="2" t="s">
        <v>741</v>
      </c>
      <c r="C236" s="2" t="s">
        <v>742</v>
      </c>
      <c r="D236" s="2" t="s">
        <v>20</v>
      </c>
      <c r="E236" s="2" t="s">
        <v>10</v>
      </c>
      <c r="F236" s="2" t="s">
        <v>743</v>
      </c>
      <c r="G236" s="2"/>
      <c r="H236" s="2"/>
      <c r="I236" s="2" t="str">
        <f>TRIM(CLEAN(SUBSTITUTE(A236,CHAR(10)," ")))</f>
        <v>ALSAFA HALAL MEAT AND GRILL</v>
      </c>
      <c r="J236" s="2" t="str">
        <f>TRIM(CLEAN(SUBSTITUTE(B236,CHAR(10)," ")))</f>
        <v>873 S Mason Rd</v>
      </c>
      <c r="K236" s="3" t="str">
        <f>PROPER(TRIM(C236))</f>
        <v>Katy</v>
      </c>
      <c r="L236" t="str">
        <f>UPPER(LEFT(TRIM(D236),2))</f>
        <v>TX</v>
      </c>
      <c r="M236" t="str">
        <f>IF(OR(UPPER(E236)="UNITED STATES",UPPER(E236)="UNITED STATES OF AMERICA",UPPER(E236)="US",UPPER(E236)="USA"),"USA",E236)</f>
        <v>USA</v>
      </c>
      <c r="N236" t="str" cm="1">
        <f t="array" ref="N236">_xlfn.REGEXEXTRACT(F236,"\d{5}")</f>
        <v>77450</v>
      </c>
    </row>
    <row r="237" spans="1:14" ht="24" x14ac:dyDescent="0.15">
      <c r="A237" s="2" t="s">
        <v>793</v>
      </c>
      <c r="B237" s="2" t="s">
        <v>794</v>
      </c>
      <c r="C237" s="2" t="s">
        <v>794</v>
      </c>
      <c r="D237" s="2" t="s">
        <v>20</v>
      </c>
      <c r="E237" s="2"/>
      <c r="F237" s="2"/>
      <c r="G237" s="2"/>
      <c r="H237" s="2"/>
      <c r="I237" s="2" t="str">
        <f>TRIM(CLEAN(SUBSTITUTE(A237,CHAR(10)," ")))</f>
        <v>HARMONY KATY</v>
      </c>
      <c r="J237" s="2" t="str">
        <f>TRIM(CLEAN(SUBSTITUTE(B237,CHAR(10)," ")))</f>
        <v>KATY</v>
      </c>
      <c r="K237" s="3" t="str">
        <f>PROPER(TRIM(C237))</f>
        <v>Katy</v>
      </c>
      <c r="L237" t="str">
        <f>UPPER(LEFT(TRIM(D237),2))</f>
        <v>TX</v>
      </c>
      <c r="M237">
        <f>IF(OR(UPPER(E237)="UNITED STATES",UPPER(E237)="UNITED STATES OF AMERICA",UPPER(E237)="US",UPPER(E237)="USA"),"USA",E237)</f>
        <v>0</v>
      </c>
      <c r="N237" t="e" cm="1" vm="1">
        <f t="array" ref="N237">_xlfn.REGEXEXTRACT(F237,"\d{5}")</f>
        <v>#N/A</v>
      </c>
    </row>
    <row r="238" spans="1:14" ht="36" x14ac:dyDescent="0.15">
      <c r="A238" s="2" t="s">
        <v>900</v>
      </c>
      <c r="B238" s="2" t="s">
        <v>901</v>
      </c>
      <c r="C238" s="2" t="s">
        <v>742</v>
      </c>
      <c r="D238" s="2" t="s">
        <v>102</v>
      </c>
      <c r="E238" s="2" t="s">
        <v>10</v>
      </c>
      <c r="F238" s="2" t="s">
        <v>902</v>
      </c>
      <c r="G238" s="2"/>
      <c r="H238" s="2"/>
      <c r="I238" s="2" t="str">
        <f>TRIM(CLEAN(SUBSTITUTE(A238,CHAR(10)," ")))</f>
        <v>Andalucia Mediterranean grocery</v>
      </c>
      <c r="J238" s="2" t="str">
        <f>TRIM(CLEAN(SUBSTITUTE(B238,CHAR(10)," ")))</f>
        <v>Morton Road</v>
      </c>
      <c r="K238" s="3" t="str">
        <f>PROPER(TRIM(C238))</f>
        <v>Katy</v>
      </c>
      <c r="L238" s="8" t="s">
        <v>20</v>
      </c>
      <c r="M238" t="str">
        <f>IF(OR(UPPER(E238)="UNITED STATES",UPPER(E238)="UNITED STATES OF AMERICA",UPPER(E238)="US",UPPER(E238)="USA"),"USA",E238)</f>
        <v>USA</v>
      </c>
      <c r="N238" t="str" cm="1">
        <f t="array" ref="N238">_xlfn.REGEXEXTRACT(F238,"\d{5}")</f>
        <v>77493</v>
      </c>
    </row>
    <row r="239" spans="1:14" ht="36" x14ac:dyDescent="0.15">
      <c r="A239" s="2" t="s">
        <v>1150</v>
      </c>
      <c r="B239" s="2" t="s">
        <v>1151</v>
      </c>
      <c r="C239" s="2" t="s">
        <v>1152</v>
      </c>
      <c r="D239" s="2" t="s">
        <v>58</v>
      </c>
      <c r="E239" s="2" t="s">
        <v>10</v>
      </c>
      <c r="F239" s="2" t="s">
        <v>1153</v>
      </c>
      <c r="G239" s="2"/>
      <c r="H239" s="2"/>
      <c r="I239" s="2" t="str">
        <f>TRIM(CLEAN(SUBSTITUTE(A239,CHAR(10)," ")))</f>
        <v>Kased International Market 1</v>
      </c>
      <c r="J239" s="2" t="str">
        <f>TRIM(CLEAN(SUBSTITUTE(B239,CHAR(10)," ")))</f>
        <v>3645 Florida Ave</v>
      </c>
      <c r="K239" s="3" t="str">
        <f>PROPER(TRIM(C239))</f>
        <v>Kenner</v>
      </c>
      <c r="L239" t="str">
        <f>UPPER(LEFT(TRIM(D239),2))</f>
        <v>LA</v>
      </c>
      <c r="M239" t="str">
        <f>IF(OR(UPPER(E239)="UNITED STATES",UPPER(E239)="UNITED STATES OF AMERICA",UPPER(E239)="US",UPPER(E239)="USA"),"USA",E239)</f>
        <v>USA</v>
      </c>
      <c r="N239" t="str" cm="1">
        <f t="array" ref="N239">_xlfn.REGEXEXTRACT(F239,"\d{5}")</f>
        <v>70065</v>
      </c>
    </row>
    <row r="240" spans="1:14" ht="36" x14ac:dyDescent="0.15">
      <c r="A240" s="2" t="s">
        <v>1154</v>
      </c>
      <c r="B240" s="2" t="s">
        <v>1151</v>
      </c>
      <c r="C240" s="2" t="s">
        <v>1152</v>
      </c>
      <c r="D240" s="2" t="s">
        <v>58</v>
      </c>
      <c r="E240" s="2" t="s">
        <v>10</v>
      </c>
      <c r="F240" s="2" t="s">
        <v>1153</v>
      </c>
      <c r="G240" s="2"/>
      <c r="H240" s="2"/>
      <c r="I240" s="2" t="str">
        <f>TRIM(CLEAN(SUBSTITUTE(A240,CHAR(10)," ")))</f>
        <v>Kased International Market 2</v>
      </c>
      <c r="J240" s="2" t="str">
        <f>TRIM(CLEAN(SUBSTITUTE(B240,CHAR(10)," ")))</f>
        <v>3645 Florida Ave</v>
      </c>
      <c r="K240" s="3" t="str">
        <f>PROPER(TRIM(C240))</f>
        <v>Kenner</v>
      </c>
      <c r="L240" t="str">
        <f>UPPER(LEFT(TRIM(D240),2))</f>
        <v>LA</v>
      </c>
      <c r="M240" t="str">
        <f>IF(OR(UPPER(E240)="UNITED STATES",UPPER(E240)="UNITED STATES OF AMERICA",UPPER(E240)="US",UPPER(E240)="USA"),"USA",E240)</f>
        <v>USA</v>
      </c>
      <c r="N240" t="str" cm="1">
        <f t="array" ref="N240">_xlfn.REGEXEXTRACT(F240,"\d{5}")</f>
        <v>70065</v>
      </c>
    </row>
    <row r="241" spans="1:14" ht="24" x14ac:dyDescent="0.15">
      <c r="A241" s="2"/>
      <c r="B241" s="2" t="s">
        <v>132</v>
      </c>
      <c r="C241" s="2" t="s">
        <v>133</v>
      </c>
      <c r="D241" s="2" t="s">
        <v>134</v>
      </c>
      <c r="E241" s="2"/>
      <c r="F241" s="2" t="s">
        <v>135</v>
      </c>
      <c r="G241" s="2"/>
      <c r="H241" s="2"/>
      <c r="I241" s="2" t="str">
        <f>TRIM(CLEAN(SUBSTITUTE(A241,CHAR(10)," ")))</f>
        <v/>
      </c>
      <c r="J241" s="2" t="str">
        <f>TRIM(CLEAN(SUBSTITUTE(B241,CHAR(10)," ")))</f>
        <v>504 Manor View Dr Apt A</v>
      </c>
      <c r="K241" s="3" t="str">
        <f>PROPER(TRIM(C241))</f>
        <v>Knoxville</v>
      </c>
      <c r="L241" s="8" t="s">
        <v>20</v>
      </c>
      <c r="M241">
        <f>IF(OR(UPPER(E241)="UNITED STATES",UPPER(E241)="UNITED STATES OF AMERICA",UPPER(E241)="US",UPPER(E241)="USA"),"USA",E241)</f>
        <v>0</v>
      </c>
      <c r="N241" t="str" cm="1">
        <f t="array" ref="N241">_xlfn.REGEXEXTRACT(F241,"\d{5}")</f>
        <v>37923</v>
      </c>
    </row>
    <row r="242" spans="1:14" ht="48" x14ac:dyDescent="0.15">
      <c r="A242" s="2" t="s">
        <v>1130</v>
      </c>
      <c r="B242" s="2" t="s">
        <v>1131</v>
      </c>
      <c r="C242" s="2" t="s">
        <v>1132</v>
      </c>
      <c r="D242" s="2" t="s">
        <v>1133</v>
      </c>
      <c r="E242" s="2" t="s">
        <v>10</v>
      </c>
      <c r="F242" s="2" t="s">
        <v>135</v>
      </c>
      <c r="G242" s="2"/>
      <c r="H242" s="2"/>
      <c r="I242" s="2" t="str">
        <f>TRIM(CLEAN(SUBSTITUTE(A242,CHAR(10)," ")))</f>
        <v>KHAN ALP LLC</v>
      </c>
      <c r="J242" s="2" t="str">
        <f>TRIM(CLEAN(SUBSTITUTE(B242,CHAR(10)," ")))</f>
        <v>504 manorview Dr apt A 37923</v>
      </c>
      <c r="K242" s="3" t="str">
        <f>PROPER(TRIM(C242))</f>
        <v>Knoxville</v>
      </c>
      <c r="L242" t="str">
        <f>UPPER(LEFT(TRIM(D242),2))</f>
        <v>TN</v>
      </c>
      <c r="M242" t="str">
        <f>IF(OR(UPPER(E242)="UNITED STATES",UPPER(E242)="UNITED STATES OF AMERICA",UPPER(E242)="US",UPPER(E242)="USA"),"USA",E242)</f>
        <v>USA</v>
      </c>
      <c r="N242" t="str" cm="1">
        <f t="array" ref="N242">_xlfn.REGEXEXTRACT(F242,"\d{5}")</f>
        <v>37923</v>
      </c>
    </row>
    <row r="243" spans="1:14" ht="36" x14ac:dyDescent="0.15">
      <c r="A243" s="2" t="s">
        <v>1265</v>
      </c>
      <c r="B243" s="2" t="s">
        <v>1266</v>
      </c>
      <c r="C243" s="2" t="s">
        <v>1267</v>
      </c>
      <c r="D243" s="2" t="s">
        <v>20</v>
      </c>
      <c r="E243" s="2" t="s">
        <v>152</v>
      </c>
      <c r="F243" s="2" t="s">
        <v>1268</v>
      </c>
      <c r="G243" s="2"/>
      <c r="H243" s="2"/>
      <c r="I243" s="2" t="str">
        <f>TRIM(CLEAN(SUBSTITUTE(A243,CHAR(10)," ")))</f>
        <v>Berliner Doner Bakery LLC</v>
      </c>
      <c r="J243" s="2" t="str">
        <f>TRIM(CLEAN(SUBSTITUTE(B243,CHAR(10)," ")))</f>
        <v>2602 luke blvd 78236 lackland</v>
      </c>
      <c r="K243" s="3" t="str">
        <f>PROPER(TRIM(C243))</f>
        <v>Lackland</v>
      </c>
      <c r="L243" t="str">
        <f>UPPER(LEFT(TRIM(D243),2))</f>
        <v>TX</v>
      </c>
      <c r="M243" t="str">
        <f>IF(OR(UPPER(E243)="UNITED STATES",UPPER(E243)="UNITED STATES OF AMERICA",UPPER(E243)="US",UPPER(E243)="USA"),"USA",E243)</f>
        <v>USA</v>
      </c>
      <c r="N243" t="str" cm="1">
        <f t="array" ref="N243">_xlfn.REGEXEXTRACT(F243,"\d{5}")</f>
        <v>78236</v>
      </c>
    </row>
    <row r="244" spans="1:14" ht="24" x14ac:dyDescent="0.15">
      <c r="A244" s="2" t="s">
        <v>1167</v>
      </c>
      <c r="B244" s="2" t="s">
        <v>1168</v>
      </c>
      <c r="C244" s="2" t="s">
        <v>1169</v>
      </c>
      <c r="D244" s="2" t="s">
        <v>34</v>
      </c>
      <c r="E244" s="2" t="s">
        <v>10</v>
      </c>
      <c r="F244" s="2" t="s">
        <v>1170</v>
      </c>
      <c r="G244" s="2"/>
      <c r="H244" s="2"/>
      <c r="I244" s="2" t="str">
        <f>TRIM(CLEAN(SUBSTITUTE(A244,CHAR(10)," ")))</f>
        <v>Marathon Gas station</v>
      </c>
      <c r="J244" s="2" t="str">
        <f>TRIM(CLEAN(SUBSTITUTE(B244,CHAR(10)," ")))</f>
        <v>111 Marcum RD</v>
      </c>
      <c r="K244" s="3" t="str">
        <f>PROPER(TRIM(C244))</f>
        <v>Lakeland</v>
      </c>
      <c r="L244" t="str">
        <f>UPPER(LEFT(TRIM(D244),2))</f>
        <v>FL</v>
      </c>
      <c r="M244" t="str">
        <f>IF(OR(UPPER(E244)="UNITED STATES",UPPER(E244)="UNITED STATES OF AMERICA",UPPER(E244)="US",UPPER(E244)="USA"),"USA",E244)</f>
        <v>USA</v>
      </c>
      <c r="N244" t="str" cm="1">
        <f t="array" ref="N244">_xlfn.REGEXEXTRACT(F244,"\d{5}")</f>
        <v>33809</v>
      </c>
    </row>
    <row r="245" spans="1:14" ht="24" x14ac:dyDescent="0.15">
      <c r="A245" s="2" t="s">
        <v>692</v>
      </c>
      <c r="B245" s="2" t="s">
        <v>693</v>
      </c>
      <c r="C245" s="2" t="s">
        <v>694</v>
      </c>
      <c r="D245" s="2" t="s">
        <v>20</v>
      </c>
      <c r="E245" s="2" t="s">
        <v>10</v>
      </c>
      <c r="F245" s="2" t="s">
        <v>695</v>
      </c>
      <c r="G245" s="2"/>
      <c r="H245" s="2"/>
      <c r="I245" s="2" t="str">
        <f>TRIM(CLEAN(SUBSTITUTE(A245,CHAR(10)," ")))</f>
        <v>Fuel America laredo</v>
      </c>
      <c r="J245" s="2" t="str">
        <f>TRIM(CLEAN(SUBSTITUTE(B245,CHAR(10)," ")))</f>
        <v>13602 Mines Rd,</v>
      </c>
      <c r="K245" s="3" t="str">
        <f>PROPER(TRIM(C245))</f>
        <v>Laredo</v>
      </c>
      <c r="L245" t="str">
        <f>UPPER(LEFT(TRIM(D245),2))</f>
        <v>TX</v>
      </c>
      <c r="M245" t="str">
        <f>IF(OR(UPPER(E245)="UNITED STATES",UPPER(E245)="UNITED STATES OF AMERICA",UPPER(E245)="US",UPPER(E245)="USA"),"USA",E245)</f>
        <v>USA</v>
      </c>
      <c r="N245" t="str" cm="1">
        <f t="array" ref="N245">_xlfn.REGEXEXTRACT(F245,"\d{5}")</f>
        <v>78045</v>
      </c>
    </row>
    <row r="246" spans="1:14" x14ac:dyDescent="0.15">
      <c r="A246" s="2" t="s">
        <v>1231</v>
      </c>
      <c r="B246" s="2" t="s">
        <v>1232</v>
      </c>
      <c r="C246" s="2" t="s">
        <v>1233</v>
      </c>
      <c r="D246" s="2" t="s">
        <v>20</v>
      </c>
      <c r="E246" s="2" t="s">
        <v>10</v>
      </c>
      <c r="F246" s="2" t="s">
        <v>695</v>
      </c>
      <c r="G246" s="2"/>
      <c r="H246" s="2"/>
      <c r="I246" s="2" t="str">
        <f>TRIM(CLEAN(SUBSTITUTE(A246,CHAR(10)," ")))</f>
        <v>Pump N Shop</v>
      </c>
      <c r="J246" s="2" t="str">
        <f>TRIM(CLEAN(SUBSTITUTE(B246,CHAR(10)," ")))</f>
        <v>101 Shiloh Dr</v>
      </c>
      <c r="K246" s="3" t="str">
        <f>PROPER(TRIM(C246))</f>
        <v>Laredo,</v>
      </c>
      <c r="L246" t="str">
        <f>UPPER(LEFT(TRIM(D246),2))</f>
        <v>TX</v>
      </c>
      <c r="M246" t="str">
        <f>IF(OR(UPPER(E246)="UNITED STATES",UPPER(E246)="UNITED STATES OF AMERICA",UPPER(E246)="US",UPPER(E246)="USA"),"USA",E246)</f>
        <v>USA</v>
      </c>
      <c r="N246" t="str" cm="1">
        <f t="array" ref="N246">_xlfn.REGEXEXTRACT(F246,"\d{5}")</f>
        <v>78045</v>
      </c>
    </row>
    <row r="247" spans="1:14" ht="36" x14ac:dyDescent="0.15">
      <c r="A247" s="2" t="s">
        <v>410</v>
      </c>
      <c r="B247" s="2" t="s">
        <v>411</v>
      </c>
      <c r="C247" s="2" t="s">
        <v>412</v>
      </c>
      <c r="D247" s="2" t="s">
        <v>20</v>
      </c>
      <c r="E247" s="2" t="s">
        <v>10</v>
      </c>
      <c r="F247" s="2" t="s">
        <v>413</v>
      </c>
      <c r="G247" s="2"/>
      <c r="H247" s="2"/>
      <c r="I247" s="2" t="str">
        <f>TRIM(CLEAN(SUBSTITUTE(A247,CHAR(10)," ")))</f>
        <v>Green Olive Mediterranean Euro market</v>
      </c>
      <c r="J247" s="2" t="str">
        <f>TRIM(CLEAN(SUBSTITUTE(B247,CHAR(10)," ")))</f>
        <v>101 E Southwest Pkwy # 114</v>
      </c>
      <c r="K247" s="3" t="str">
        <f>PROPER(TRIM(C247))</f>
        <v>Lewisville</v>
      </c>
      <c r="L247" t="str">
        <f>UPPER(LEFT(TRIM(D247),2))</f>
        <v>TX</v>
      </c>
      <c r="M247" t="str">
        <f>IF(OR(UPPER(E247)="UNITED STATES",UPPER(E247)="UNITED STATES OF AMERICA",UPPER(E247)="US",UPPER(E247)="USA"),"USA",E247)</f>
        <v>USA</v>
      </c>
      <c r="N247" t="str" cm="1">
        <f t="array" ref="N247">_xlfn.REGEXEXTRACT(F247,"\d{5}")</f>
        <v>75067</v>
      </c>
    </row>
    <row r="248" spans="1:14" ht="48" x14ac:dyDescent="0.15">
      <c r="A248" s="2" t="s">
        <v>260</v>
      </c>
      <c r="B248" s="2" t="s">
        <v>261</v>
      </c>
      <c r="C248" s="2" t="s">
        <v>262</v>
      </c>
      <c r="D248" s="2" t="s">
        <v>20</v>
      </c>
      <c r="E248" s="2" t="s">
        <v>10</v>
      </c>
      <c r="F248" s="2" t="s">
        <v>263</v>
      </c>
      <c r="G248" s="2"/>
      <c r="H248" s="2"/>
      <c r="I248" s="2" t="str">
        <f>TRIM(CLEAN(SUBSTITUTE(A248,CHAR(10)," ")))</f>
        <v>ASIAN GROCERY AND HALAL MEAT</v>
      </c>
      <c r="J248" s="2" t="str">
        <f>TRIM(CLEAN(SUBSTITUTE(B248,CHAR(10)," ")))</f>
        <v>2763 E ELDORADO PKWY SUITE 115</v>
      </c>
      <c r="K248" s="3" t="str">
        <f>PROPER(TRIM(C248))</f>
        <v>Little Elm</v>
      </c>
      <c r="L248" t="str">
        <f>UPPER(LEFT(TRIM(D248),2))</f>
        <v>TX</v>
      </c>
      <c r="M248" t="str">
        <f>IF(OR(UPPER(E248)="UNITED STATES",UPPER(E248)="UNITED STATES OF AMERICA",UPPER(E248)="US",UPPER(E248)="USA"),"USA",E248)</f>
        <v>USA</v>
      </c>
      <c r="N248" t="str" cm="1">
        <f t="array" ref="N248">_xlfn.REGEXEXTRACT(F248,"\d{5}")</f>
        <v>75068</v>
      </c>
    </row>
    <row r="249" spans="1:14" ht="36" x14ac:dyDescent="0.15">
      <c r="A249" s="2" t="s">
        <v>50</v>
      </c>
      <c r="B249" s="2" t="s">
        <v>51</v>
      </c>
      <c r="C249" s="2" t="s">
        <v>52</v>
      </c>
      <c r="D249" s="2" t="s">
        <v>53</v>
      </c>
      <c r="E249" s="2" t="s">
        <v>10</v>
      </c>
      <c r="F249" s="2" t="s">
        <v>54</v>
      </c>
      <c r="G249" s="2"/>
      <c r="H249" s="2"/>
      <c r="I249" s="2" t="str">
        <f>TRIM(CLEAN(SUBSTITUTE(A249,CHAR(10)," ")))</f>
        <v>Arkansas Culture and Dialog center</v>
      </c>
      <c r="J249" s="2" t="str">
        <f>TRIM(CLEAN(SUBSTITUTE(B249,CHAR(10)," ")))</f>
        <v>1501 market street</v>
      </c>
      <c r="K249" s="3" t="str">
        <f>PROPER(TRIM(C249))</f>
        <v>Little Rock</v>
      </c>
      <c r="L249" t="str">
        <f>UPPER(LEFT(TRIM(D249),2))</f>
        <v>AR</v>
      </c>
      <c r="M249" t="str">
        <f>IF(OR(UPPER(E249)="UNITED STATES",UPPER(E249)="UNITED STATES OF AMERICA",UPPER(E249)="US",UPPER(E249)="USA"),"USA",E249)</f>
        <v>USA</v>
      </c>
      <c r="N249" t="str" cm="1">
        <f t="array" ref="N249">_xlfn.REGEXEXTRACT(F249,"\d{5}")</f>
        <v>72211</v>
      </c>
    </row>
    <row r="250" spans="1:14" ht="36" x14ac:dyDescent="0.15">
      <c r="A250" s="2" t="s">
        <v>1370</v>
      </c>
      <c r="B250" s="2" t="s">
        <v>1371</v>
      </c>
      <c r="C250" s="2" t="s">
        <v>1372</v>
      </c>
      <c r="D250" s="2" t="s">
        <v>9</v>
      </c>
      <c r="E250" s="2" t="s">
        <v>10</v>
      </c>
      <c r="F250" s="2" t="s">
        <v>1373</v>
      </c>
      <c r="G250" s="2"/>
      <c r="H250" s="2"/>
      <c r="I250" s="2" t="str">
        <f>TRIM(CLEAN(SUBSTITUTE(A250,CHAR(10)," ")))</f>
        <v>Sunrise Wholesale &amp; Distribution</v>
      </c>
      <c r="J250" s="2" t="str">
        <f>TRIM(CLEAN(SUBSTITUTE(B250,CHAR(10)," ")))</f>
        <v>3760 Bloomfield Village Dr</v>
      </c>
      <c r="K250" s="3" t="str">
        <f>PROPER(TRIM(C250))</f>
        <v>Macon</v>
      </c>
      <c r="L250" t="str">
        <f>UPPER(LEFT(TRIM(D250),2))</f>
        <v>GA</v>
      </c>
      <c r="M250" t="str">
        <f>IF(OR(UPPER(E250)="UNITED STATES",UPPER(E250)="UNITED STATES OF AMERICA",UPPER(E250)="US",UPPER(E250)="USA"),"USA",E250)</f>
        <v>USA</v>
      </c>
      <c r="N250" t="str" cm="1">
        <f t="array" ref="N250">_xlfn.REGEXEXTRACT(F250,"\d{5}")</f>
        <v>31206</v>
      </c>
    </row>
    <row r="251" spans="1:14" ht="36" x14ac:dyDescent="0.15">
      <c r="A251" s="2" t="s">
        <v>919</v>
      </c>
      <c r="B251" s="2" t="s">
        <v>920</v>
      </c>
      <c r="C251" s="2" t="s">
        <v>921</v>
      </c>
      <c r="D251" s="2" t="s">
        <v>102</v>
      </c>
      <c r="E251" s="2" t="s">
        <v>10</v>
      </c>
      <c r="F251" s="2" t="s">
        <v>922</v>
      </c>
      <c r="G251" s="2"/>
      <c r="H251" s="2"/>
      <c r="I251" s="2" t="str">
        <f>TRIM(CLEAN(SUBSTITUTE(A251,CHAR(10)," ")))</f>
        <v>Barbarossa Coffee - MAGNOLIA</v>
      </c>
      <c r="J251" s="2" t="str">
        <f>TRIM(CLEAN(SUBSTITUTE(B251,CHAR(10)," ")))</f>
        <v>Sweetgum Road</v>
      </c>
      <c r="K251" s="3" t="str">
        <f>PROPER(TRIM(C251))</f>
        <v>Magnolia</v>
      </c>
      <c r="L251" s="8" t="s">
        <v>20</v>
      </c>
      <c r="M251" t="str">
        <f>IF(OR(UPPER(E251)="UNITED STATES",UPPER(E251)="UNITED STATES OF AMERICA",UPPER(E251)="US",UPPER(E251)="USA"),"USA",E251)</f>
        <v>USA</v>
      </c>
      <c r="N251" t="str" cm="1">
        <f t="array" ref="N251">_xlfn.REGEXEXTRACT(F251,"\d{5}")</f>
        <v>77354</v>
      </c>
    </row>
    <row r="252" spans="1:14" ht="60" x14ac:dyDescent="0.15">
      <c r="A252" s="2" t="s">
        <v>555</v>
      </c>
      <c r="B252" s="2" t="s">
        <v>556</v>
      </c>
      <c r="C252" s="2" t="s">
        <v>276</v>
      </c>
      <c r="D252" s="2" t="s">
        <v>20</v>
      </c>
      <c r="E252" s="2" t="s">
        <v>10</v>
      </c>
      <c r="F252" s="2" t="s">
        <v>277</v>
      </c>
      <c r="G252" s="2"/>
      <c r="H252" s="2"/>
      <c r="I252" s="2" t="str">
        <f>TRIM(CLEAN(SUBSTITUTE(A252,CHAR(10)," ")))</f>
        <v>Qamaria Yemeni Coffee Co. DALLAS (5 star)</v>
      </c>
      <c r="J252" s="2" t="str">
        <f>TRIM(CLEAN(SUBSTITUTE(B252,CHAR(10)," ")))</f>
        <v>1601 E Debbie Ln #1111</v>
      </c>
      <c r="K252" s="3" t="str">
        <f>PROPER(TRIM(C252))</f>
        <v>Mansfield</v>
      </c>
      <c r="L252" t="str">
        <f>UPPER(LEFT(TRIM(D252),2))</f>
        <v>TX</v>
      </c>
      <c r="M252" t="str">
        <f>IF(OR(UPPER(E252)="UNITED STATES",UPPER(E252)="UNITED STATES OF AMERICA",UPPER(E252)="US",UPPER(E252)="USA"),"USA",E252)</f>
        <v>USA</v>
      </c>
      <c r="N252" t="str" cm="1">
        <f t="array" ref="N252">_xlfn.REGEXEXTRACT(F252,"\d{5}")</f>
        <v>76063</v>
      </c>
    </row>
    <row r="253" spans="1:14" ht="48" x14ac:dyDescent="0.15">
      <c r="A253" s="2" t="s">
        <v>274</v>
      </c>
      <c r="B253" s="2" t="s">
        <v>275</v>
      </c>
      <c r="C253" s="2" t="s">
        <v>276</v>
      </c>
      <c r="D253" s="2" t="s">
        <v>20</v>
      </c>
      <c r="E253" s="2" t="s">
        <v>10</v>
      </c>
      <c r="F253" s="2" t="s">
        <v>277</v>
      </c>
      <c r="G253" s="2"/>
      <c r="H253" s="2"/>
      <c r="I253" s="2" t="str">
        <f>TRIM(CLEAN(SUBSTITUTE(A253,CHAR(10)," ")))</f>
        <v>Balqees Coffee ( ADEN COFFEE)</v>
      </c>
      <c r="J253" s="2" t="str">
        <f>TRIM(CLEAN(SUBSTITUTE(B253,CHAR(10)," ")))</f>
        <v>2041 U.S. 287 Frontage Rd #103</v>
      </c>
      <c r="K253" s="3" t="str">
        <f>PROPER(TRIM(C253))</f>
        <v>Mansfield</v>
      </c>
      <c r="L253" t="str">
        <f>UPPER(LEFT(TRIM(D253),2))</f>
        <v>TX</v>
      </c>
      <c r="M253" t="str">
        <f>IF(OR(UPPER(E253)="UNITED STATES",UPPER(E253)="UNITED STATES OF AMERICA",UPPER(E253)="US",UPPER(E253)="USA"),"USA",E253)</f>
        <v>USA</v>
      </c>
      <c r="N253" t="str" cm="1">
        <f t="array" ref="N253">_xlfn.REGEXEXTRACT(F253,"\d{5}")</f>
        <v>76063</v>
      </c>
    </row>
    <row r="254" spans="1:14" ht="36" x14ac:dyDescent="0.15">
      <c r="A254" s="2" t="s">
        <v>302</v>
      </c>
      <c r="B254" s="2" t="s">
        <v>303</v>
      </c>
      <c r="C254" s="2" t="s">
        <v>304</v>
      </c>
      <c r="D254" s="2" t="s">
        <v>305</v>
      </c>
      <c r="E254" s="2" t="s">
        <v>10</v>
      </c>
      <c r="F254" s="2" t="s">
        <v>306</v>
      </c>
      <c r="G254" s="2"/>
      <c r="H254" s="2"/>
      <c r="I254" s="2" t="str">
        <f>TRIM(CLEAN(SUBSTITUTE(A254,CHAR(10)," ")))</f>
        <v>Candy time INC</v>
      </c>
      <c r="J254" s="2" t="str">
        <f>TRIM(CLEAN(SUBSTITUTE(B254,CHAR(10)," ")))</f>
        <v>601Donald Lynch Bld s130</v>
      </c>
      <c r="K254" s="3" t="str">
        <f>PROPER(TRIM(C254))</f>
        <v>Marlborough</v>
      </c>
      <c r="L254" t="str">
        <f>UPPER(LEFT(TRIM(D254),2))</f>
        <v>MA</v>
      </c>
      <c r="M254" t="str">
        <f>IF(OR(UPPER(E254)="UNITED STATES",UPPER(E254)="UNITED STATES OF AMERICA",UPPER(E254)="US",UPPER(E254)="USA"),"USA",E254)</f>
        <v>USA</v>
      </c>
      <c r="N254" t="str" cm="1">
        <f t="array" ref="N254">_xlfn.REGEXEXTRACT(F254,"\d{5}")</f>
        <v>01752</v>
      </c>
    </row>
    <row r="255" spans="1:14" ht="48" x14ac:dyDescent="0.15">
      <c r="A255" s="2" t="s">
        <v>484</v>
      </c>
      <c r="B255" s="2" t="s">
        <v>485</v>
      </c>
      <c r="C255" s="2" t="s">
        <v>486</v>
      </c>
      <c r="D255" s="2" t="s">
        <v>15</v>
      </c>
      <c r="E255" s="2" t="s">
        <v>10</v>
      </c>
      <c r="F255" s="2" t="s">
        <v>343</v>
      </c>
      <c r="G255" s="2"/>
      <c r="H255" s="2"/>
      <c r="I255" s="2" t="str">
        <f>TRIM(CLEAN(SUBSTITUTE(A255,CHAR(10)," ")))</f>
        <v>Joe's International Market</v>
      </c>
      <c r="J255" s="2" t="str">
        <f>TRIM(CLEAN(SUBSTITUTE(B255,CHAR(10)," ")))</f>
        <v>153 S Central Expy, McKinney, TX 75070</v>
      </c>
      <c r="K255" s="3" t="str">
        <f>PROPER(TRIM(C255))</f>
        <v>Mc Kinney</v>
      </c>
      <c r="L255" t="str">
        <f>UPPER(LEFT(TRIM(D255),2))</f>
        <v>TX</v>
      </c>
      <c r="M255" t="str">
        <f>IF(OR(UPPER(E255)="UNITED STATES",UPPER(E255)="UNITED STATES OF AMERICA",UPPER(E255)="US",UPPER(E255)="USA"),"USA",E255)</f>
        <v>USA</v>
      </c>
      <c r="N255" t="str" cm="1">
        <f t="array" ref="N255">_xlfn.REGEXEXTRACT(F255,"\d{5}")</f>
        <v>75070</v>
      </c>
    </row>
    <row r="256" spans="1:14" ht="24" x14ac:dyDescent="0.15">
      <c r="A256" s="2" t="s">
        <v>1382</v>
      </c>
      <c r="B256" s="2" t="s">
        <v>1383</v>
      </c>
      <c r="C256" s="2" t="s">
        <v>1384</v>
      </c>
      <c r="D256" s="2" t="s">
        <v>20</v>
      </c>
      <c r="E256" s="2" t="s">
        <v>10</v>
      </c>
      <c r="F256" s="2" t="s">
        <v>1385</v>
      </c>
      <c r="G256" s="2"/>
      <c r="H256" s="2"/>
      <c r="I256" s="2" t="str">
        <f>TRIM(CLEAN(SUBSTITUTE(A256,CHAR(10)," ")))</f>
        <v>Toys Land LLC</v>
      </c>
      <c r="J256" s="2" t="str">
        <f>TRIM(CLEAN(SUBSTITUTE(B256,CHAR(10)," ")))</f>
        <v>2200 S 10th Street #162</v>
      </c>
      <c r="K256" s="3" t="str">
        <f>PROPER(TRIM(C256))</f>
        <v>Mcallen</v>
      </c>
      <c r="L256" t="str">
        <f>UPPER(LEFT(TRIM(D256),2))</f>
        <v>TX</v>
      </c>
      <c r="M256" t="str">
        <f>IF(OR(UPPER(E256)="UNITED STATES",UPPER(E256)="UNITED STATES OF AMERICA",UPPER(E256)="US",UPPER(E256)="USA"),"USA",E256)</f>
        <v>USA</v>
      </c>
      <c r="N256" t="str" cm="1">
        <f t="array" ref="N256">_xlfn.REGEXEXTRACT(F256,"\d{5}")</f>
        <v>78503</v>
      </c>
    </row>
    <row r="257" spans="1:14" ht="36" x14ac:dyDescent="0.15">
      <c r="A257" s="2" t="s">
        <v>316</v>
      </c>
      <c r="B257" s="2" t="s">
        <v>317</v>
      </c>
      <c r="C257" s="2" t="s">
        <v>318</v>
      </c>
      <c r="D257" s="2" t="s">
        <v>20</v>
      </c>
      <c r="E257" s="2" t="s">
        <v>10</v>
      </c>
      <c r="F257" s="2" t="s">
        <v>319</v>
      </c>
      <c r="G257" s="2"/>
      <c r="H257" s="2"/>
      <c r="I257" s="2" t="str">
        <f>TRIM(CLEAN(SUBSTITUTE(A257,CHAR(10)," ")))</f>
        <v>Classic International Market</v>
      </c>
      <c r="J257" s="2" t="str">
        <f>TRIM(CLEAN(SUBSTITUTE(B257,CHAR(10)," ")))</f>
        <v>2310 Virginia Pkwy #130</v>
      </c>
      <c r="K257" s="3" t="str">
        <f>PROPER(TRIM(C257))</f>
        <v>Mckinney</v>
      </c>
      <c r="L257" t="str">
        <f>UPPER(LEFT(TRIM(D257),2))</f>
        <v>TX</v>
      </c>
      <c r="M257" t="str">
        <f>IF(OR(UPPER(E257)="UNITED STATES",UPPER(E257)="UNITED STATES OF AMERICA",UPPER(E257)="US",UPPER(E257)="USA"),"USA",E257)</f>
        <v>USA</v>
      </c>
      <c r="N257" t="str" cm="1">
        <f t="array" ref="N257">_xlfn.REGEXEXTRACT(F257,"\d{5}")</f>
        <v>75071</v>
      </c>
    </row>
    <row r="258" spans="1:14" ht="36" x14ac:dyDescent="0.15">
      <c r="A258" s="2" t="s">
        <v>613</v>
      </c>
      <c r="B258" s="2" t="s">
        <v>614</v>
      </c>
      <c r="C258" s="2" t="s">
        <v>615</v>
      </c>
      <c r="D258" s="2" t="s">
        <v>102</v>
      </c>
      <c r="E258" s="2" t="s">
        <v>10</v>
      </c>
      <c r="F258" s="2" t="s">
        <v>343</v>
      </c>
      <c r="G258" s="2"/>
      <c r="H258" s="2"/>
      <c r="I258" s="2" t="str">
        <f>TRIM(CLEAN(SUBSTITUTE(A258,CHAR(10)," ")))</f>
        <v>SULTAN Restaurant-McKinney</v>
      </c>
      <c r="J258" s="2" t="str">
        <f>TRIM(CLEAN(SUBSTITUTE(B258,CHAR(10)," ")))</f>
        <v>3935 Lake Forest Drive STE 125</v>
      </c>
      <c r="K258" s="3" t="str">
        <f>PROPER(TRIM(C258))</f>
        <v>Mckinney</v>
      </c>
      <c r="L258" s="8" t="s">
        <v>20</v>
      </c>
      <c r="M258" t="str">
        <f>IF(OR(UPPER(E258)="UNITED STATES",UPPER(E258)="UNITED STATES OF AMERICA",UPPER(E258)="US",UPPER(E258)="USA"),"USA",E258)</f>
        <v>USA</v>
      </c>
      <c r="N258" t="str" cm="1">
        <f t="array" ref="N258">_xlfn.REGEXEXTRACT(F258,"\d{5}")</f>
        <v>75070</v>
      </c>
    </row>
    <row r="259" spans="1:14" ht="36" x14ac:dyDescent="0.15">
      <c r="A259" s="2" t="s">
        <v>341</v>
      </c>
      <c r="B259" s="2" t="s">
        <v>342</v>
      </c>
      <c r="C259" s="2" t="s">
        <v>318</v>
      </c>
      <c r="D259" s="2" t="s">
        <v>20</v>
      </c>
      <c r="E259" s="2" t="s">
        <v>10</v>
      </c>
      <c r="F259" s="2" t="s">
        <v>343</v>
      </c>
      <c r="G259" s="2"/>
      <c r="H259" s="2"/>
      <c r="I259" s="2" t="str">
        <f>TRIM(CLEAN(SUBSTITUTE(A259,CHAR(10)," ")))</f>
        <v>Desi District McKinney</v>
      </c>
      <c r="J259" s="2" t="str">
        <f>TRIM(CLEAN(SUBSTITUTE(B259,CHAR(10)," ")))</f>
        <v>5400 Collin McKinney Pkwy</v>
      </c>
      <c r="K259" s="3" t="str">
        <f>PROPER(TRIM(C259))</f>
        <v>Mckinney</v>
      </c>
      <c r="L259" t="str">
        <f>UPPER(LEFT(TRIM(D259),2))</f>
        <v>TX</v>
      </c>
      <c r="M259" t="str">
        <f>IF(OR(UPPER(E259)="UNITED STATES",UPPER(E259)="UNITED STATES OF AMERICA",UPPER(E259)="US",UPPER(E259)="USA"),"USA",E259)</f>
        <v>USA</v>
      </c>
      <c r="N259" t="str" cm="1">
        <f t="array" ref="N259">_xlfn.REGEXEXTRACT(F259,"\d{5}")</f>
        <v>75070</v>
      </c>
    </row>
    <row r="260" spans="1:14" ht="48" x14ac:dyDescent="0.15">
      <c r="A260" s="2" t="s">
        <v>1163</v>
      </c>
      <c r="B260" s="2" t="s">
        <v>1164</v>
      </c>
      <c r="C260" s="2" t="s">
        <v>1165</v>
      </c>
      <c r="D260" s="2" t="s">
        <v>1133</v>
      </c>
      <c r="E260" s="2" t="s">
        <v>10</v>
      </c>
      <c r="F260" s="2" t="s">
        <v>1166</v>
      </c>
      <c r="G260" s="2"/>
      <c r="H260" s="2"/>
      <c r="I260" s="2" t="str">
        <f>TRIM(CLEAN(SUBSTITUTE(A260,CHAR(10)," ")))</f>
        <v>MALANI ENTERPRISE , INC</v>
      </c>
      <c r="J260" s="2" t="str">
        <f>TRIM(CLEAN(SUBSTITUTE(B260,CHAR(10)," ")))</f>
        <v>6901 APPLING FARMS PKWY</v>
      </c>
      <c r="K260" s="3" t="str">
        <f>PROPER(TRIM(C260))</f>
        <v>Memphis</v>
      </c>
      <c r="L260" t="str">
        <f>UPPER(LEFT(TRIM(D260),2))</f>
        <v>TN</v>
      </c>
      <c r="M260" t="str">
        <f>IF(OR(UPPER(E260)="UNITED STATES",UPPER(E260)="UNITED STATES OF AMERICA",UPPER(E260)="US",UPPER(E260)="USA"),"USA",E260)</f>
        <v>USA</v>
      </c>
      <c r="N260" t="str" cm="1">
        <f t="array" ref="N260">_xlfn.REGEXEXTRACT(F260,"\d{5}")</f>
        <v>38133</v>
      </c>
    </row>
    <row r="261" spans="1:14" ht="36" x14ac:dyDescent="0.15">
      <c r="A261" s="2" t="s">
        <v>406</v>
      </c>
      <c r="B261" s="2" t="s">
        <v>407</v>
      </c>
      <c r="C261" s="2" t="s">
        <v>408</v>
      </c>
      <c r="D261" s="2" t="s">
        <v>102</v>
      </c>
      <c r="E261" s="2" t="s">
        <v>10</v>
      </c>
      <c r="F261" s="2" t="s">
        <v>409</v>
      </c>
      <c r="G261" s="2"/>
      <c r="H261" s="2"/>
      <c r="I261" s="2" t="str">
        <f>TRIM(CLEAN(SUBSTITUTE(A261,CHAR(10)," ")))</f>
        <v>Green Holyland Llc</v>
      </c>
      <c r="J261" s="2" t="str">
        <f>TRIM(CLEAN(SUBSTITUTE(B261,CHAR(10)," ")))</f>
        <v>2106 N Galloway Ave ,</v>
      </c>
      <c r="K261" s="3" t="str">
        <f>PROPER(TRIM(C261))</f>
        <v>Mesquite</v>
      </c>
      <c r="L261" s="8" t="s">
        <v>20</v>
      </c>
      <c r="M261" t="str">
        <f>IF(OR(UPPER(E261)="UNITED STATES",UPPER(E261)="UNITED STATES OF AMERICA",UPPER(E261)="US",UPPER(E261)="USA"),"USA",E261)</f>
        <v>USA</v>
      </c>
      <c r="N261" t="str" cm="1">
        <f t="array" ref="N261">_xlfn.REGEXEXTRACT(F261,"\d{5}")</f>
        <v>75150</v>
      </c>
    </row>
    <row r="262" spans="1:14" ht="36" x14ac:dyDescent="0.15">
      <c r="A262" s="2" t="s">
        <v>1147</v>
      </c>
      <c r="B262" s="2" t="s">
        <v>1148</v>
      </c>
      <c r="C262" s="2" t="s">
        <v>1149</v>
      </c>
      <c r="D262" s="2" t="s">
        <v>58</v>
      </c>
      <c r="E262" s="2" t="s">
        <v>10</v>
      </c>
      <c r="F262" s="2"/>
      <c r="G262" s="2"/>
      <c r="H262" s="2"/>
      <c r="I262" s="2" t="str">
        <f>TRIM(CLEAN(SUBSTITUTE(A262,CHAR(10)," ")))</f>
        <v>Cedar halal market and pharmacy</v>
      </c>
      <c r="J262" s="2" t="str">
        <f>TRIM(CLEAN(SUBSTITUTE(B262,CHAR(10)," ")))</f>
        <v>5029 veterans memorial blvd</v>
      </c>
      <c r="K262" s="3" t="str">
        <f>PROPER(TRIM(C262))</f>
        <v>Metairi</v>
      </c>
      <c r="L262" t="str">
        <f>UPPER(LEFT(TRIM(D262),2))</f>
        <v>LA</v>
      </c>
      <c r="M262" t="str">
        <f>IF(OR(UPPER(E262)="UNITED STATES",UPPER(E262)="UNITED STATES OF AMERICA",UPPER(E262)="US",UPPER(E262)="USA"),"USA",E262)</f>
        <v>USA</v>
      </c>
      <c r="N262" t="e" cm="1" vm="1">
        <f t="array" ref="N262">_xlfn.REGEXEXTRACT(F262,"\d{5}")</f>
        <v>#N/A</v>
      </c>
    </row>
    <row r="263" spans="1:14" ht="24" x14ac:dyDescent="0.15">
      <c r="A263" s="2" t="s">
        <v>661</v>
      </c>
      <c r="B263" s="2" t="s">
        <v>662</v>
      </c>
      <c r="C263" s="2" t="s">
        <v>663</v>
      </c>
      <c r="D263" s="2"/>
      <c r="E263" s="2"/>
      <c r="F263" s="2"/>
      <c r="G263" s="2"/>
      <c r="H263" s="2"/>
      <c r="I263" s="2" t="str">
        <f>TRIM(CLEAN(SUBSTITUTE(A263,CHAR(10)," ")))</f>
        <v>Dode Anatolia LLC</v>
      </c>
      <c r="J263" s="2" t="str">
        <f>TRIM(CLEAN(SUBSTITUTE(B263,CHAR(10)," ")))</f>
        <v>Midlan TX</v>
      </c>
      <c r="K263" s="3" t="str">
        <f>PROPER(TRIM(C263))</f>
        <v>Midland</v>
      </c>
      <c r="L263" s="8" t="s">
        <v>20</v>
      </c>
      <c r="M263">
        <f>IF(OR(UPPER(E263)="UNITED STATES",UPPER(E263)="UNITED STATES OF AMERICA",UPPER(E263)="US",UPPER(E263)="USA"),"USA",E263)</f>
        <v>0</v>
      </c>
      <c r="N263" t="e" cm="1" vm="1">
        <f t="array" ref="N263">_xlfn.REGEXEXTRACT(F263,"\d{5}")</f>
        <v>#N/A</v>
      </c>
    </row>
    <row r="264" spans="1:14" ht="24" x14ac:dyDescent="0.15">
      <c r="A264" s="2" t="s">
        <v>859</v>
      </c>
      <c r="B264" s="2" t="s">
        <v>860</v>
      </c>
      <c r="C264" s="2" t="s">
        <v>808</v>
      </c>
      <c r="D264" s="2" t="s">
        <v>20</v>
      </c>
      <c r="E264" s="2"/>
      <c r="F264" s="2" t="s">
        <v>861</v>
      </c>
      <c r="G264" s="2"/>
      <c r="H264" s="2"/>
      <c r="I264" s="2" t="str">
        <f>TRIM(CLEAN(SUBSTITUTE(A264,CHAR(10)," ")))</f>
        <v>Target Trading, LLC</v>
      </c>
      <c r="J264" s="2" t="str">
        <f>TRIM(CLEAN(SUBSTITUTE(B264,CHAR(10)," ")))</f>
        <v>13219 Stafford Ste A</v>
      </c>
      <c r="K264" s="3" t="str">
        <f>PROPER(TRIM(C264))</f>
        <v>Missouri City</v>
      </c>
      <c r="L264" t="str">
        <f>UPPER(LEFT(TRIM(D264),2))</f>
        <v>TX</v>
      </c>
      <c r="M264">
        <f>IF(OR(UPPER(E264)="UNITED STATES",UPPER(E264)="UNITED STATES OF AMERICA",UPPER(E264)="US",UPPER(E264)="USA"),"USA",E264)</f>
        <v>0</v>
      </c>
      <c r="N264" t="str" cm="1">
        <f t="array" ref="N264">_xlfn.REGEXEXTRACT(F264,"\d{5}")</f>
        <v>77489</v>
      </c>
    </row>
    <row r="265" spans="1:14" ht="36" x14ac:dyDescent="0.15">
      <c r="A265" s="2" t="s">
        <v>806</v>
      </c>
      <c r="B265" s="2" t="s">
        <v>807</v>
      </c>
      <c r="C265" s="2" t="s">
        <v>808</v>
      </c>
      <c r="D265" s="2" t="s">
        <v>20</v>
      </c>
      <c r="E265" s="2" t="s">
        <v>10</v>
      </c>
      <c r="F265" s="2" t="s">
        <v>809</v>
      </c>
      <c r="G265" s="2"/>
      <c r="H265" s="2"/>
      <c r="I265" s="2" t="str">
        <f>TRIM(CLEAN(SUBSTITUTE(A265,CHAR(10)," ")))</f>
        <v>Harvest Market Sienna</v>
      </c>
      <c r="J265" s="2" t="str">
        <f>TRIM(CLEAN(SUBSTITUTE(B265,CHAR(10)," ")))</f>
        <v>4603 Sienna Pkwy</v>
      </c>
      <c r="K265" s="3" t="str">
        <f>PROPER(TRIM(C265))</f>
        <v>Missouri City</v>
      </c>
      <c r="L265" t="str">
        <f>UPPER(LEFT(TRIM(D265),2))</f>
        <v>TX</v>
      </c>
      <c r="M265" t="str">
        <f>IF(OR(UPPER(E265)="UNITED STATES",UPPER(E265)="UNITED STATES OF AMERICA",UPPER(E265)="US",UPPER(E265)="USA"),"USA",E265)</f>
        <v>USA</v>
      </c>
      <c r="N265" t="str" cm="1">
        <f t="array" ref="N265">_xlfn.REGEXEXTRACT(F265,"\d{5}")</f>
        <v>77459</v>
      </c>
    </row>
    <row r="266" spans="1:14" ht="48" x14ac:dyDescent="0.15">
      <c r="A266" s="2" t="s">
        <v>929</v>
      </c>
      <c r="B266" s="2" t="s">
        <v>930</v>
      </c>
      <c r="C266" s="2" t="s">
        <v>808</v>
      </c>
      <c r="D266" s="2" t="s">
        <v>20</v>
      </c>
      <c r="E266" s="2" t="s">
        <v>10</v>
      </c>
      <c r="F266" s="2" t="s">
        <v>809</v>
      </c>
      <c r="G266" s="2"/>
      <c r="H266" s="2"/>
      <c r="I266" s="2" t="str">
        <f>TRIM(CLEAN(SUBSTITUTE(A266,CHAR(10)," ")))</f>
        <v>SO COFFEE LLC (Beans up-White Wing)</v>
      </c>
      <c r="J266" s="2" t="str">
        <f>TRIM(CLEAN(SUBSTITUTE(B266,CHAR(10)," ")))</f>
        <v>5405 hwy 6 suite 100</v>
      </c>
      <c r="K266" s="3" t="str">
        <f>PROPER(TRIM(C266))</f>
        <v>Missouri City</v>
      </c>
      <c r="L266" t="str">
        <f>UPPER(LEFT(TRIM(D266),2))</f>
        <v>TX</v>
      </c>
      <c r="M266" t="str">
        <f>IF(OR(UPPER(E266)="UNITED STATES",UPPER(E266)="UNITED STATES OF AMERICA",UPPER(E266)="US",UPPER(E266)="USA"),"USA",E266)</f>
        <v>USA</v>
      </c>
      <c r="N266" t="str" cm="1">
        <f t="array" ref="N266">_xlfn.REGEXEXTRACT(F266,"\d{5}")</f>
        <v>77459</v>
      </c>
    </row>
    <row r="267" spans="1:14" ht="36" x14ac:dyDescent="0.15">
      <c r="A267" s="2" t="s">
        <v>1030</v>
      </c>
      <c r="B267" s="2" t="s">
        <v>1031</v>
      </c>
      <c r="C267" s="2" t="s">
        <v>808</v>
      </c>
      <c r="D267" s="2" t="s">
        <v>102</v>
      </c>
      <c r="E267" s="2" t="s">
        <v>10</v>
      </c>
      <c r="F267" s="2" t="s">
        <v>809</v>
      </c>
      <c r="G267" s="2"/>
      <c r="H267" s="2"/>
      <c r="I267" s="2" t="str">
        <f>TRIM(CLEAN(SUBSTITUTE(A267,CHAR(10)," ")))</f>
        <v>My Spice Grocery</v>
      </c>
      <c r="J267" s="2" t="str">
        <f>TRIM(CLEAN(SUBSTITUTE(B267,CHAR(10)," ")))</f>
        <v>Sienna Ranch Road missouri</v>
      </c>
      <c r="K267" s="3" t="str">
        <f>PROPER(TRIM(C267))</f>
        <v>Missouri City</v>
      </c>
      <c r="L267" s="8" t="s">
        <v>20</v>
      </c>
      <c r="M267" t="str">
        <f>IF(OR(UPPER(E267)="UNITED STATES",UPPER(E267)="UNITED STATES OF AMERICA",UPPER(E267)="US",UPPER(E267)="USA"),"USA",E267)</f>
        <v>USA</v>
      </c>
      <c r="N267" t="str" cm="1">
        <f t="array" ref="N267">_xlfn.REGEXEXTRACT(F267,"\d{5}")</f>
        <v>77459</v>
      </c>
    </row>
    <row r="268" spans="1:14" ht="36" x14ac:dyDescent="0.15">
      <c r="A268" s="2" t="s">
        <v>350</v>
      </c>
      <c r="B268" s="2" t="s">
        <v>351</v>
      </c>
      <c r="C268" s="2" t="s">
        <v>352</v>
      </c>
      <c r="D268" s="2" t="s">
        <v>102</v>
      </c>
      <c r="E268" s="2" t="s">
        <v>10</v>
      </c>
      <c r="F268" s="2" t="s">
        <v>353</v>
      </c>
      <c r="G268" s="2"/>
      <c r="H268" s="2"/>
      <c r="I268" s="2" t="str">
        <f>TRIM(CLEAN(SUBSTITUTE(A268,CHAR(10)," ")))</f>
        <v>Dessert Avenue</v>
      </c>
      <c r="J268" s="2" t="str">
        <f>TRIM(CLEAN(SUBSTITUTE(B268,CHAR(10)," ")))</f>
        <v>208 W FM 544 Suite 106</v>
      </c>
      <c r="K268" s="3" t="str">
        <f>PROPER(TRIM(C268))</f>
        <v>Murphy</v>
      </c>
      <c r="L268" s="8" t="s">
        <v>20</v>
      </c>
      <c r="M268" t="str">
        <f>IF(OR(UPPER(E268)="UNITED STATES",UPPER(E268)="UNITED STATES OF AMERICA",UPPER(E268)="US",UPPER(E268)="USA"),"USA",E268)</f>
        <v>USA</v>
      </c>
      <c r="N268" t="str" cm="1">
        <f t="array" ref="N268">_xlfn.REGEXEXTRACT(F268,"\d{5}")</f>
        <v>75094</v>
      </c>
    </row>
    <row r="269" spans="1:14" ht="36" x14ac:dyDescent="0.15">
      <c r="A269" s="2" t="s">
        <v>461</v>
      </c>
      <c r="B269" s="2" t="s">
        <v>462</v>
      </c>
      <c r="C269" s="2" t="s">
        <v>352</v>
      </c>
      <c r="D269" s="2" t="s">
        <v>20</v>
      </c>
      <c r="E269" s="2" t="s">
        <v>10</v>
      </c>
      <c r="F269" s="2" t="s">
        <v>353</v>
      </c>
      <c r="G269" s="2"/>
      <c r="H269" s="2"/>
      <c r="I269" s="2" t="str">
        <f>TRIM(CLEAN(SUBSTITUTE(A269,CHAR(10)," ")))</f>
        <v>Indo-Pak Supermarket Murphy</v>
      </c>
      <c r="J269" s="2" t="str">
        <f>TRIM(CLEAN(SUBSTITUTE(B269,CHAR(10)," ")))</f>
        <v>420 Village Dr Suite 100</v>
      </c>
      <c r="K269" s="3" t="str">
        <f>PROPER(TRIM(C269))</f>
        <v>Murphy</v>
      </c>
      <c r="L269" t="str">
        <f>UPPER(LEFT(TRIM(D269),2))</f>
        <v>TX</v>
      </c>
      <c r="M269" t="str">
        <f>IF(OR(UPPER(E269)="UNITED STATES",UPPER(E269)="UNITED STATES OF AMERICA",UPPER(E269)="US",UPPER(E269)="USA"),"USA",E269)</f>
        <v>USA</v>
      </c>
      <c r="N269" t="str" cm="1">
        <f t="array" ref="N269">_xlfn.REGEXEXTRACT(F269,"\d{5}")</f>
        <v>75094</v>
      </c>
    </row>
    <row r="270" spans="1:14" ht="36" x14ac:dyDescent="0.15">
      <c r="A270" s="2" t="s">
        <v>1008</v>
      </c>
      <c r="B270" s="2" t="s">
        <v>1009</v>
      </c>
      <c r="C270" s="2" t="s">
        <v>1010</v>
      </c>
      <c r="D270" s="2" t="s">
        <v>20</v>
      </c>
      <c r="E270" s="2" t="s">
        <v>10</v>
      </c>
      <c r="F270" s="2" t="s">
        <v>892</v>
      </c>
      <c r="G270" s="2"/>
      <c r="H270" s="2"/>
      <c r="I270" s="2" t="str">
        <f>TRIM(CLEAN(SUBSTITUTE(A270,CHAR(10)," ")))</f>
        <v>Mediterraneo</v>
      </c>
      <c r="J270" s="2" t="str">
        <f>TRIM(CLEAN(SUBSTITUTE(B270,CHAR(10)," ")))</f>
        <v>1400 Nasa Road 1 Suite D</v>
      </c>
      <c r="K270" s="3" t="str">
        <f>PROPER(TRIM(C270))</f>
        <v>Nassau Bay</v>
      </c>
      <c r="L270" t="str">
        <f>UPPER(LEFT(TRIM(D270),2))</f>
        <v>TX</v>
      </c>
      <c r="M270" t="str">
        <f>IF(OR(UPPER(E270)="UNITED STATES",UPPER(E270)="UNITED STATES OF AMERICA",UPPER(E270)="US",UPPER(E270)="USA"),"USA",E270)</f>
        <v>USA</v>
      </c>
      <c r="N270" t="str" cm="1">
        <f t="array" ref="N270">_xlfn.REGEXEXTRACT(F270,"\d{5}")</f>
        <v>77058</v>
      </c>
    </row>
    <row r="271" spans="1:14" ht="24" x14ac:dyDescent="0.15">
      <c r="A271" s="2" t="s">
        <v>1185</v>
      </c>
      <c r="B271" s="2" t="s">
        <v>1186</v>
      </c>
      <c r="C271" s="2" t="s">
        <v>1187</v>
      </c>
      <c r="D271" s="2" t="s">
        <v>182</v>
      </c>
      <c r="E271" s="2" t="s">
        <v>10</v>
      </c>
      <c r="F271" s="2" t="s">
        <v>1188</v>
      </c>
      <c r="G271" s="2"/>
      <c r="H271" s="2"/>
      <c r="I271" s="2" t="str">
        <f>TRIM(CLEAN(SUBSTITUTE(A271,CHAR(10)," ")))</f>
        <v>Mona’s cafe</v>
      </c>
      <c r="J271" s="2" t="str">
        <f>TRIM(CLEAN(SUBSTITUTE(B271,CHAR(10)," ")))</f>
        <v>3901 banks street</v>
      </c>
      <c r="K271" s="3" t="str">
        <f>PROPER(TRIM(C271))</f>
        <v>New Orleans</v>
      </c>
      <c r="L271" t="str">
        <f>UPPER(LEFT(TRIM(D271),2))</f>
        <v>LO</v>
      </c>
      <c r="M271" t="str">
        <f>IF(OR(UPPER(E271)="UNITED STATES",UPPER(E271)="UNITED STATES OF AMERICA",UPPER(E271)="US",UPPER(E271)="USA"),"USA",E271)</f>
        <v>USA</v>
      </c>
      <c r="N271" t="str" cm="1">
        <f t="array" ref="N271">_xlfn.REGEXEXTRACT(F271,"\d{5}")</f>
        <v>70119</v>
      </c>
    </row>
    <row r="272" spans="1:14" ht="36" x14ac:dyDescent="0.15">
      <c r="A272" s="2" t="s">
        <v>557</v>
      </c>
      <c r="B272" s="2" t="s">
        <v>558</v>
      </c>
      <c r="C272" s="2" t="s">
        <v>559</v>
      </c>
      <c r="D272" s="2" t="s">
        <v>187</v>
      </c>
      <c r="E272" s="2" t="s">
        <v>10</v>
      </c>
      <c r="F272" s="2" t="s">
        <v>560</v>
      </c>
      <c r="G272" s="2"/>
      <c r="H272" s="2"/>
      <c r="I272" s="2" t="str">
        <f>TRIM(CLEAN(SUBSTITUTE(A272,CHAR(10)," ")))</f>
        <v>Raindrop Foundation of Oklahoma</v>
      </c>
      <c r="J272" s="2" t="str">
        <f>TRIM(CLEAN(SUBSTITUTE(B272,CHAR(10)," ")))</f>
        <v>4444 calssen Blvd</v>
      </c>
      <c r="K272" s="3" t="str">
        <f>PROPER(TRIM(C272))</f>
        <v>Oklahoma</v>
      </c>
      <c r="L272" t="str">
        <f>UPPER(LEFT(TRIM(D272),2))</f>
        <v>OK</v>
      </c>
      <c r="M272" t="str">
        <f>IF(OR(UPPER(E272)="UNITED STATES",UPPER(E272)="UNITED STATES OF AMERICA",UPPER(E272)="US",UPPER(E272)="USA"),"USA",E272)</f>
        <v>USA</v>
      </c>
      <c r="N272" t="str" cm="1">
        <f t="array" ref="N272">_xlfn.REGEXEXTRACT(F272,"\d{5}")</f>
        <v>73118</v>
      </c>
    </row>
    <row r="273" spans="1:14" ht="24" x14ac:dyDescent="0.15">
      <c r="A273" s="2" t="s">
        <v>1356</v>
      </c>
      <c r="B273" s="2" t="s">
        <v>1357</v>
      </c>
      <c r="C273" s="2" t="s">
        <v>1358</v>
      </c>
      <c r="D273" s="2" t="s">
        <v>187</v>
      </c>
      <c r="E273" s="2" t="s">
        <v>10</v>
      </c>
      <c r="F273" s="2" t="s">
        <v>1359</v>
      </c>
      <c r="G273" s="2"/>
      <c r="H273" s="2"/>
      <c r="I273" s="2" t="str">
        <f>TRIM(CLEAN(SUBSTITUTE(A273,CHAR(10)," ")))</f>
        <v>Sooners Wholesale Inc</v>
      </c>
      <c r="J273" s="2" t="str">
        <f>TRIM(CLEAN(SUBSTITUTE(B273,CHAR(10)," ")))</f>
        <v>1001 NW 4th St</v>
      </c>
      <c r="K273" s="3" t="str">
        <f>PROPER(TRIM(C273))</f>
        <v>Oklahoma City</v>
      </c>
      <c r="L273" t="str">
        <f>UPPER(LEFT(TRIM(D273),2))</f>
        <v>OK</v>
      </c>
      <c r="M273" t="str">
        <f>IF(OR(UPPER(E273)="UNITED STATES",UPPER(E273)="UNITED STATES OF AMERICA",UPPER(E273)="US",UPPER(E273)="USA"),"USA",E273)</f>
        <v>USA</v>
      </c>
      <c r="N273" t="str" cm="1">
        <f t="array" ref="N273">_xlfn.REGEXEXTRACT(F273,"\d{5}")</f>
        <v>73106</v>
      </c>
    </row>
    <row r="274" spans="1:14" ht="48" x14ac:dyDescent="0.15">
      <c r="A274" s="2" t="s">
        <v>184</v>
      </c>
      <c r="B274" s="2" t="s">
        <v>185</v>
      </c>
      <c r="C274" s="2" t="s">
        <v>186</v>
      </c>
      <c r="D274" s="2" t="s">
        <v>187</v>
      </c>
      <c r="E274" s="2" t="s">
        <v>10</v>
      </c>
      <c r="F274" s="2" t="s">
        <v>188</v>
      </c>
      <c r="G274" s="2"/>
      <c r="H274" s="2"/>
      <c r="I274" s="2" t="str">
        <f>TRIM(CLEAN(SUBSTITUTE(A274,CHAR(10)," ")))</f>
        <v>CSN C STORE &amp; NOVELTY OUTLET</v>
      </c>
      <c r="J274" s="2" t="str">
        <f>TRIM(CLEAN(SUBSTITUTE(B274,CHAR(10)," ")))</f>
        <v>912 SE 44th street</v>
      </c>
      <c r="K274" s="3" t="str">
        <f>PROPER(TRIM(C274))</f>
        <v>Oklahoma City</v>
      </c>
      <c r="L274" t="str">
        <f>UPPER(LEFT(TRIM(D274),2))</f>
        <v>OK</v>
      </c>
      <c r="M274" t="str">
        <f>IF(OR(UPPER(E274)="UNITED STATES",UPPER(E274)="UNITED STATES OF AMERICA",UPPER(E274)="US",UPPER(E274)="USA"),"USA",E274)</f>
        <v>USA</v>
      </c>
      <c r="N274" t="str" cm="1">
        <f t="array" ref="N274">_xlfn.REGEXEXTRACT(F274,"\d{5}")</f>
        <v>73129</v>
      </c>
    </row>
    <row r="275" spans="1:14" ht="24" x14ac:dyDescent="0.15">
      <c r="A275" s="2"/>
      <c r="B275" s="2" t="s">
        <v>1155</v>
      </c>
      <c r="C275" s="2" t="s">
        <v>1156</v>
      </c>
      <c r="D275" s="2" t="s">
        <v>1157</v>
      </c>
      <c r="E275" s="2"/>
      <c r="F275" s="2" t="s">
        <v>1158</v>
      </c>
      <c r="G275" s="2"/>
      <c r="H275" s="2"/>
      <c r="I275" s="2" t="str">
        <f>TRIM(CLEAN(SUBSTITUTE(A275,CHAR(10)," ")))</f>
        <v/>
      </c>
      <c r="J275" s="2" t="str">
        <f>TRIM(CLEAN(SUBSTITUTE(B275,CHAR(10)," ")))</f>
        <v>2910 S Archibald Ave</v>
      </c>
      <c r="K275" s="3" t="str">
        <f>PROPER(TRIM(C275))</f>
        <v>Ontario</v>
      </c>
      <c r="L275" t="str">
        <f>UPPER(LEFT(TRIM(D275),2))</f>
        <v>CA</v>
      </c>
      <c r="M275">
        <f>IF(OR(UPPER(E275)="UNITED STATES",UPPER(E275)="UNITED STATES OF AMERICA",UPPER(E275)="US",UPPER(E275)="USA"),"USA",E275)</f>
        <v>0</v>
      </c>
      <c r="N275" t="str" cm="1">
        <f t="array" ref="N275">_xlfn.REGEXEXTRACT(F275,"\d{5}")</f>
        <v>91761</v>
      </c>
    </row>
    <row r="276" spans="1:14" ht="36" x14ac:dyDescent="0.15">
      <c r="A276" s="2" t="s">
        <v>31</v>
      </c>
      <c r="B276" s="2" t="s">
        <v>32</v>
      </c>
      <c r="C276" s="2" t="s">
        <v>33</v>
      </c>
      <c r="D276" s="2" t="s">
        <v>34</v>
      </c>
      <c r="E276" s="2" t="s">
        <v>10</v>
      </c>
      <c r="F276" s="2" t="s">
        <v>35</v>
      </c>
      <c r="G276" s="2"/>
      <c r="H276" s="2"/>
      <c r="I276" s="2" t="str">
        <f>TRIM(CLEAN(SUBSTITUTE(A276,CHAR(10)," ")))</f>
        <v>Ace Distributors llc</v>
      </c>
      <c r="J276" s="2" t="str">
        <f>TRIM(CLEAN(SUBSTITUTE(B276,CHAR(10)," ")))</f>
        <v>1900 Premier row</v>
      </c>
      <c r="K276" s="3" t="str">
        <f>PROPER(TRIM(C276))</f>
        <v>Orlando</v>
      </c>
      <c r="L276" t="str">
        <f>UPPER(LEFT(TRIM(D276),2))</f>
        <v>FL</v>
      </c>
      <c r="M276" t="str">
        <f>IF(OR(UPPER(E276)="UNITED STATES",UPPER(E276)="UNITED STATES OF AMERICA",UPPER(E276)="US",UPPER(E276)="USA"),"USA",E276)</f>
        <v>USA</v>
      </c>
      <c r="N276" t="str" cm="1">
        <f t="array" ref="N276">_xlfn.REGEXEXTRACT(F276,"\d{5}")</f>
        <v>32809</v>
      </c>
    </row>
    <row r="277" spans="1:14" ht="24" x14ac:dyDescent="0.15">
      <c r="A277" s="2" t="s">
        <v>1191</v>
      </c>
      <c r="B277" s="2" t="s">
        <v>1192</v>
      </c>
      <c r="C277" s="2" t="s">
        <v>1193</v>
      </c>
      <c r="D277" s="2" t="s">
        <v>1125</v>
      </c>
      <c r="E277" s="2" t="s">
        <v>10</v>
      </c>
      <c r="F277" s="2" t="s">
        <v>1194</v>
      </c>
      <c r="G277" s="2"/>
      <c r="H277" s="2"/>
      <c r="I277" s="2" t="str">
        <f>TRIM(CLEAN(SUBSTITUTE(A277,CHAR(10)," ")))</f>
        <v>Mosaic Cafe</v>
      </c>
      <c r="J277" s="2" t="str">
        <f>TRIM(CLEAN(SUBSTITUTE(B277,CHAR(10)," ")))</f>
        <v>is at 11241 W 95th street</v>
      </c>
      <c r="K277" s="3" t="str">
        <f>PROPER(TRIM(C277))</f>
        <v>Overlandpark</v>
      </c>
      <c r="L277" t="str">
        <f>UPPER(LEFT(TRIM(D277),2))</f>
        <v>KS</v>
      </c>
      <c r="M277" t="str">
        <f>IF(OR(UPPER(E277)="UNITED STATES",UPPER(E277)="UNITED STATES OF AMERICA",UPPER(E277)="US",UPPER(E277)="USA"),"USA",E277)</f>
        <v>USA</v>
      </c>
      <c r="N277" t="str" cm="1">
        <f t="array" ref="N277">_xlfn.REGEXEXTRACT(F277,"\d{5}")</f>
        <v>66214</v>
      </c>
    </row>
    <row r="278" spans="1:14" ht="48" x14ac:dyDescent="0.15">
      <c r="A278" s="2" t="s">
        <v>545</v>
      </c>
      <c r="B278" s="2" t="s">
        <v>546</v>
      </c>
      <c r="C278" s="2" t="s">
        <v>547</v>
      </c>
      <c r="D278" s="2" t="s">
        <v>20</v>
      </c>
      <c r="E278" s="2" t="s">
        <v>10</v>
      </c>
      <c r="F278" s="2"/>
      <c r="G278" s="2"/>
      <c r="H278" s="2"/>
      <c r="I278" s="2" t="str">
        <f>TRIM(CLEAN(SUBSTITUTE(A278,CHAR(10)," ")))</f>
        <v>Pita Hut &amp; Frozen Yogurt</v>
      </c>
      <c r="J278" s="2" t="str">
        <f>TRIM(CLEAN(SUBSTITUTE(B278,CHAR(10)," ")))</f>
        <v>1625 TX-256 Loop Ste F, Palestine, TX 75801</v>
      </c>
      <c r="K278" s="3" t="str">
        <f>PROPER(TRIM(C278))</f>
        <v>Palestine</v>
      </c>
      <c r="L278" t="str">
        <f>UPPER(LEFT(TRIM(D278),2))</f>
        <v>TX</v>
      </c>
      <c r="M278" t="str">
        <f>IF(OR(UPPER(E278)="UNITED STATES",UPPER(E278)="UNITED STATES OF AMERICA",UPPER(E278)="US",UPPER(E278)="USA"),"USA",E278)</f>
        <v>USA</v>
      </c>
      <c r="N278" t="e" cm="1" vm="1">
        <f t="array" ref="N278">_xlfn.REGEXEXTRACT(F278,"\d{5}")</f>
        <v>#N/A</v>
      </c>
    </row>
    <row r="279" spans="1:14" ht="36" x14ac:dyDescent="0.15">
      <c r="A279" s="2" t="s">
        <v>392</v>
      </c>
      <c r="B279" s="2" t="s">
        <v>393</v>
      </c>
      <c r="C279" s="2" t="s">
        <v>394</v>
      </c>
      <c r="D279" s="2" t="s">
        <v>20</v>
      </c>
      <c r="E279" s="2" t="s">
        <v>10</v>
      </c>
      <c r="F279" s="2" t="s">
        <v>16</v>
      </c>
      <c r="G279" s="2"/>
      <c r="H279" s="2"/>
      <c r="I279" s="2" t="str">
        <f>TRIM(CLEAN(SUBSTITUTE(A279,CHAR(10)," ")))</f>
        <v>Fresh Halal Depot</v>
      </c>
      <c r="J279" s="2" t="str">
        <f>TRIM(CLEAN(SUBSTITUTE(B279,CHAR(10)," ")))</f>
        <v>2304 w park row dr STE27</v>
      </c>
      <c r="K279" s="3" t="str">
        <f>PROPER(TRIM(C279))</f>
        <v>Pantego</v>
      </c>
      <c r="L279" t="str">
        <f>UPPER(LEFT(TRIM(D279),2))</f>
        <v>TX</v>
      </c>
      <c r="M279" t="str">
        <f>IF(OR(UPPER(E279)="UNITED STATES",UPPER(E279)="UNITED STATES OF AMERICA",UPPER(E279)="US",UPPER(E279)="USA"),"USA",E279)</f>
        <v>USA</v>
      </c>
      <c r="N279" t="str" cm="1">
        <f t="array" ref="N279">_xlfn.REGEXEXTRACT(F279,"\d{5}")</f>
        <v>76013</v>
      </c>
    </row>
    <row r="280" spans="1:14" ht="24" x14ac:dyDescent="0.15">
      <c r="A280" s="2" t="s">
        <v>1127</v>
      </c>
      <c r="B280" s="2" t="s">
        <v>1128</v>
      </c>
      <c r="C280" s="2" t="s">
        <v>1129</v>
      </c>
      <c r="D280" s="2" t="s">
        <v>15</v>
      </c>
      <c r="E280" s="2" t="s">
        <v>10</v>
      </c>
      <c r="F280" s="2" t="s">
        <v>16</v>
      </c>
      <c r="G280" s="2"/>
      <c r="H280" s="2"/>
      <c r="I280" s="2" t="str">
        <f>TRIM(CLEAN(SUBSTITUTE(A280,CHAR(10)," ")))</f>
        <v>Karibu Coffees Cafe</v>
      </c>
      <c r="J280" s="2" t="str">
        <f>TRIM(CLEAN(SUBSTITUTE(B280,CHAR(10)," ")))</f>
        <v>2522 w park row dr</v>
      </c>
      <c r="K280" s="3" t="str">
        <f>PROPER(TRIM(C280))</f>
        <v>Pantego</v>
      </c>
      <c r="L280" t="str">
        <f>UPPER(LEFT(TRIM(D280),2))</f>
        <v>TX</v>
      </c>
      <c r="M280" t="str">
        <f>IF(OR(UPPER(E280)="UNITED STATES",UPPER(E280)="UNITED STATES OF AMERICA",UPPER(E280)="US",UPPER(E280)="USA"),"USA",E280)</f>
        <v>USA</v>
      </c>
      <c r="N280" t="str" cm="1">
        <f t="array" ref="N280">_xlfn.REGEXEXTRACT(F280,"\d{5}")</f>
        <v>76013</v>
      </c>
    </row>
    <row r="281" spans="1:14" ht="48" x14ac:dyDescent="0.15">
      <c r="A281" s="2" t="s">
        <v>886</v>
      </c>
      <c r="B281" s="2" t="s">
        <v>887</v>
      </c>
      <c r="C281" s="2" t="s">
        <v>888</v>
      </c>
      <c r="D281" s="2" t="s">
        <v>102</v>
      </c>
      <c r="E281" s="2" t="s">
        <v>10</v>
      </c>
      <c r="F281" s="2" t="s">
        <v>889</v>
      </c>
      <c r="G281" s="2"/>
      <c r="H281" s="2"/>
      <c r="I281" s="2" t="str">
        <f>TRIM(CLEAN(SUBSTITUTE(A281,CHAR(10)," ")))</f>
        <v>AB World Food Market LLC</v>
      </c>
      <c r="J281" s="2" t="str">
        <f>TRIM(CLEAN(SUBSTITUTE(B281,CHAR(10)," ")))</f>
        <v>Shadow Creek Parkway Suite 109</v>
      </c>
      <c r="K281" s="3" t="str">
        <f>PROPER(TRIM(C281))</f>
        <v>Pearland</v>
      </c>
      <c r="L281" s="8" t="s">
        <v>20</v>
      </c>
      <c r="M281" t="str">
        <f>IF(OR(UPPER(E281)="UNITED STATES",UPPER(E281)="UNITED STATES OF AMERICA",UPPER(E281)="US",UPPER(E281)="USA"),"USA",E281)</f>
        <v>USA</v>
      </c>
      <c r="N281" t="str" cm="1">
        <f t="array" ref="N281">_xlfn.REGEXEXTRACT(F281,"\d{5}")</f>
        <v>77584</v>
      </c>
    </row>
    <row r="282" spans="1:14" ht="24" x14ac:dyDescent="0.15">
      <c r="A282" s="2" t="s">
        <v>1117</v>
      </c>
      <c r="B282" s="2" t="s">
        <v>1118</v>
      </c>
      <c r="C282" s="2" t="s">
        <v>1119</v>
      </c>
      <c r="D282" s="2" t="s">
        <v>1120</v>
      </c>
      <c r="E282" s="2"/>
      <c r="F282" s="2" t="s">
        <v>1121</v>
      </c>
      <c r="G282" s="2"/>
      <c r="H282" s="2"/>
      <c r="I282" s="2" t="str">
        <f>TRIM(CLEAN(SUBSTITUTE(A282,CHAR(10)," ")))</f>
        <v>K Wholesale LLC</v>
      </c>
      <c r="J282" s="2" t="str">
        <f>TRIM(CLEAN(SUBSTITUTE(B282,CHAR(10)," ")))</f>
        <v>1122 E Main Ste 4</v>
      </c>
      <c r="K282" s="3" t="str">
        <f>PROPER(TRIM(C282))</f>
        <v>Philadelphia</v>
      </c>
      <c r="L282" t="str">
        <f>UPPER(LEFT(TRIM(D282),2))</f>
        <v>MS</v>
      </c>
      <c r="M282">
        <f>IF(OR(UPPER(E282)="UNITED STATES",UPPER(E282)="UNITED STATES OF AMERICA",UPPER(E282)="US",UPPER(E282)="USA"),"USA",E282)</f>
        <v>0</v>
      </c>
      <c r="N282" t="str" cm="1">
        <f t="array" ref="N282">_xlfn.REGEXEXTRACT(F282,"\d{5}")</f>
        <v>39350</v>
      </c>
    </row>
    <row r="283" spans="1:14" ht="48" x14ac:dyDescent="0.15">
      <c r="A283" s="2" t="s">
        <v>1360</v>
      </c>
      <c r="B283" s="2" t="s">
        <v>1361</v>
      </c>
      <c r="C283" s="2" t="s">
        <v>1362</v>
      </c>
      <c r="D283" s="2" t="s">
        <v>1363</v>
      </c>
      <c r="E283" s="2" t="s">
        <v>10</v>
      </c>
      <c r="F283" s="2" t="s">
        <v>1364</v>
      </c>
      <c r="G283" s="2"/>
      <c r="H283" s="2"/>
      <c r="I283" s="2" t="str">
        <f>TRIM(CLEAN(SUBSTITUTE(A283,CHAR(10)," ")))</f>
        <v>SS TOBACCO DISTRIBUTOR LLC</v>
      </c>
      <c r="J283" s="2" t="str">
        <f>TRIM(CLEAN(SUBSTITUTE(B283,CHAR(10)," ")))</f>
        <v>4018 N 3RD AVE</v>
      </c>
      <c r="K283" s="3" t="str">
        <f>PROPER(TRIM(C283))</f>
        <v>Phoenix</v>
      </c>
      <c r="L283" t="str">
        <f>UPPER(LEFT(TRIM(D283),2))</f>
        <v>AZ</v>
      </c>
      <c r="M283" t="str">
        <f>IF(OR(UPPER(E283)="UNITED STATES",UPPER(E283)="UNITED STATES OF AMERICA",UPPER(E283)="US",UPPER(E283)="USA"),"USA",E283)</f>
        <v>USA</v>
      </c>
      <c r="N283" t="str" cm="1">
        <f t="array" ref="N283">_xlfn.REGEXEXTRACT(F283,"\d{5}")</f>
        <v>85338</v>
      </c>
    </row>
    <row r="284" spans="1:14" ht="36" x14ac:dyDescent="0.15">
      <c r="A284" s="2" t="s">
        <v>228</v>
      </c>
      <c r="B284" s="2" t="s">
        <v>229</v>
      </c>
      <c r="C284" s="2" t="s">
        <v>230</v>
      </c>
      <c r="D284" s="2" t="s">
        <v>20</v>
      </c>
      <c r="E284" s="2" t="s">
        <v>10</v>
      </c>
      <c r="F284" s="2" t="s">
        <v>231</v>
      </c>
      <c r="G284" s="2"/>
      <c r="H284" s="2"/>
      <c r="I284" s="2" t="str">
        <f>TRIM(CLEAN(SUBSTITUTE(A284,CHAR(10)," ")))</f>
        <v>Altin Grocery</v>
      </c>
      <c r="J284" s="2" t="str">
        <f>TRIM(CLEAN(SUBSTITUTE(B284,CHAR(10)," ")))</f>
        <v>1201 N Central Expy #19</v>
      </c>
      <c r="K284" s="3" t="str">
        <f>PROPER(TRIM(C284))</f>
        <v>Plano</v>
      </c>
      <c r="L284" t="str">
        <f>UPPER(LEFT(TRIM(D284),2))</f>
        <v>TX</v>
      </c>
      <c r="M284" t="str">
        <f>IF(OR(UPPER(E284)="UNITED STATES",UPPER(E284)="UNITED STATES OF AMERICA",UPPER(E284)="US",UPPER(E284)="USA"),"USA",E284)</f>
        <v>USA</v>
      </c>
      <c r="N284" t="str" cm="1">
        <f t="array" ref="N284">_xlfn.REGEXEXTRACT(F284,"\d{5}")</f>
        <v>75075</v>
      </c>
    </row>
    <row r="285" spans="1:14" ht="24" x14ac:dyDescent="0.15">
      <c r="A285" s="2" t="s">
        <v>414</v>
      </c>
      <c r="B285" s="2" t="s">
        <v>415</v>
      </c>
      <c r="C285" s="2" t="s">
        <v>293</v>
      </c>
      <c r="D285" s="2" t="s">
        <v>20</v>
      </c>
      <c r="E285" s="2" t="s">
        <v>10</v>
      </c>
      <c r="F285" s="2" t="s">
        <v>231</v>
      </c>
      <c r="G285" s="2"/>
      <c r="H285" s="2"/>
      <c r="I285" s="2" t="str">
        <f>TRIM(CLEAN(SUBSTITUTE(A285,CHAR(10)," ")))</f>
        <v>Green Vine Market</v>
      </c>
      <c r="J285" s="2" t="str">
        <f>TRIM(CLEAN(SUBSTITUTE(B285,CHAR(10)," ")))</f>
        <v>1804 K Ave, Plano</v>
      </c>
      <c r="K285" s="3" t="str">
        <f>PROPER(TRIM(C285))</f>
        <v>Plano</v>
      </c>
      <c r="L285" t="str">
        <f>UPPER(LEFT(TRIM(D285),2))</f>
        <v>TX</v>
      </c>
      <c r="M285" t="str">
        <f>IF(OR(UPPER(E285)="UNITED STATES",UPPER(E285)="UNITED STATES OF AMERICA",UPPER(E285)="US",UPPER(E285)="USA"),"USA",E285)</f>
        <v>USA</v>
      </c>
      <c r="N285" t="str" cm="1">
        <f t="array" ref="N285">_xlfn.REGEXEXTRACT(F285,"\d{5}")</f>
        <v>75075</v>
      </c>
    </row>
    <row r="286" spans="1:14" ht="36" x14ac:dyDescent="0.15">
      <c r="A286" s="2" t="s">
        <v>494</v>
      </c>
      <c r="B286" s="2" t="s">
        <v>495</v>
      </c>
      <c r="C286" s="2" t="s">
        <v>230</v>
      </c>
      <c r="D286" s="2" t="s">
        <v>20</v>
      </c>
      <c r="E286" s="2" t="s">
        <v>10</v>
      </c>
      <c r="F286" s="2" t="s">
        <v>231</v>
      </c>
      <c r="G286" s="2"/>
      <c r="H286" s="2"/>
      <c r="I286" s="2" t="str">
        <f>TRIM(CLEAN(SUBSTITUTE(A286,CHAR(10)," ")))</f>
        <v>Karak Tea Bakery &amp; Cafe</v>
      </c>
      <c r="J286" s="2" t="str">
        <f>TRIM(CLEAN(SUBSTITUTE(B286,CHAR(10)," ")))</f>
        <v>1820 Coit Rd #138</v>
      </c>
      <c r="K286" s="3" t="str">
        <f>PROPER(TRIM(C286))</f>
        <v>Plano</v>
      </c>
      <c r="L286" t="str">
        <f>UPPER(LEFT(TRIM(D286),2))</f>
        <v>TX</v>
      </c>
      <c r="M286" t="str">
        <f>IF(OR(UPPER(E286)="UNITED STATES",UPPER(E286)="UNITED STATES OF AMERICA",UPPER(E286)="US",UPPER(E286)="USA"),"USA",E286)</f>
        <v>USA</v>
      </c>
      <c r="N286" t="str" cm="1">
        <f t="array" ref="N286">_xlfn.REGEXEXTRACT(F286,"\d{5}")</f>
        <v>75075</v>
      </c>
    </row>
    <row r="287" spans="1:14" ht="36" x14ac:dyDescent="0.15">
      <c r="A287" s="2" t="s">
        <v>463</v>
      </c>
      <c r="B287" s="2" t="s">
        <v>464</v>
      </c>
      <c r="C287" s="2" t="s">
        <v>465</v>
      </c>
      <c r="D287" s="2" t="s">
        <v>15</v>
      </c>
      <c r="E287" s="2" t="s">
        <v>10</v>
      </c>
      <c r="F287" s="2" t="s">
        <v>383</v>
      </c>
      <c r="G287" s="2"/>
      <c r="H287" s="2"/>
      <c r="I287" s="2" t="str">
        <f>TRIM(CLEAN(SUBSTITUTE(A287,CHAR(10)," ")))</f>
        <v>Indopak supermarket Plano</v>
      </c>
      <c r="J287" s="2" t="str">
        <f>TRIM(CLEAN(SUBSTITUTE(B287,CHAR(10)," ")))</f>
        <v>2060 w. spring creek pkwy. suite</v>
      </c>
      <c r="K287" s="3" t="str">
        <f>PROPER(TRIM(C287))</f>
        <v>Plano</v>
      </c>
      <c r="L287" t="str">
        <f>UPPER(LEFT(TRIM(D287),2))</f>
        <v>TX</v>
      </c>
      <c r="M287" t="str">
        <f>IF(OR(UPPER(E287)="UNITED STATES",UPPER(E287)="UNITED STATES OF AMERICA",UPPER(E287)="US",UPPER(E287)="USA"),"USA",E287)</f>
        <v>USA</v>
      </c>
      <c r="N287" t="str" cm="1">
        <f t="array" ref="N287">_xlfn.REGEXEXTRACT(F287,"\d{5}")</f>
        <v>75023</v>
      </c>
    </row>
    <row r="288" spans="1:14" ht="36" x14ac:dyDescent="0.15">
      <c r="A288" s="2" t="s">
        <v>246</v>
      </c>
      <c r="B288" s="2" t="s">
        <v>247</v>
      </c>
      <c r="C288" s="2" t="s">
        <v>230</v>
      </c>
      <c r="D288" s="2" t="s">
        <v>20</v>
      </c>
      <c r="E288" s="2" t="s">
        <v>10</v>
      </c>
      <c r="F288" s="2" t="s">
        <v>231</v>
      </c>
      <c r="G288" s="2"/>
      <c r="H288" s="2"/>
      <c r="I288" s="2" t="str">
        <f>TRIM(CLEAN(SUBSTITUTE(A288,CHAR(10)," ")))</f>
        <v>Antepian Turkish Cuisine</v>
      </c>
      <c r="J288" s="2" t="str">
        <f>TRIM(CLEAN(SUBSTITUTE(B288,CHAR(10)," ")))</f>
        <v>2141 W Park Blvd, Plano, TX 75075</v>
      </c>
      <c r="K288" s="3" t="str">
        <f>PROPER(TRIM(C288))</f>
        <v>Plano</v>
      </c>
      <c r="L288" t="str">
        <f>UPPER(LEFT(TRIM(D288),2))</f>
        <v>TX</v>
      </c>
      <c r="M288" t="str">
        <f>IF(OR(UPPER(E288)="UNITED STATES",UPPER(E288)="UNITED STATES OF AMERICA",UPPER(E288)="US",UPPER(E288)="USA"),"USA",E288)</f>
        <v>USA</v>
      </c>
      <c r="N288" t="str" cm="1">
        <f t="array" ref="N288">_xlfn.REGEXEXTRACT(F288,"\d{5}")</f>
        <v>75075</v>
      </c>
    </row>
    <row r="289" spans="1:14" ht="36" x14ac:dyDescent="0.15">
      <c r="A289" s="2" t="s">
        <v>565</v>
      </c>
      <c r="B289" s="2" t="s">
        <v>566</v>
      </c>
      <c r="C289" s="2" t="s">
        <v>465</v>
      </c>
      <c r="D289" s="2" t="s">
        <v>15</v>
      </c>
      <c r="E289" s="2" t="s">
        <v>10</v>
      </c>
      <c r="F289" s="2" t="s">
        <v>231</v>
      </c>
      <c r="G289" s="2"/>
      <c r="H289" s="2"/>
      <c r="I289" s="2" t="str">
        <f>TRIM(CLEAN(SUBSTITUTE(A289,CHAR(10)," ")))</f>
        <v>Rokhat Grill</v>
      </c>
      <c r="J289" s="2" t="str">
        <f>TRIM(CLEAN(SUBSTITUTE(B289,CHAR(10)," ")))</f>
        <v>2205 n central expressway #180</v>
      </c>
      <c r="K289" s="3" t="str">
        <f>PROPER(TRIM(C289))</f>
        <v>Plano</v>
      </c>
      <c r="L289" t="str">
        <f>UPPER(LEFT(TRIM(D289),2))</f>
        <v>TX</v>
      </c>
      <c r="M289" t="str">
        <f>IF(OR(UPPER(E289)="UNITED STATES",UPPER(E289)="UNITED STATES OF AMERICA",UPPER(E289)="US",UPPER(E289)="USA"),"USA",E289)</f>
        <v>USA</v>
      </c>
      <c r="N289" t="str" cm="1">
        <f t="array" ref="N289">_xlfn.REGEXEXTRACT(F289,"\d{5}")</f>
        <v>75075</v>
      </c>
    </row>
    <row r="290" spans="1:14" ht="24" x14ac:dyDescent="0.15">
      <c r="A290" s="2" t="s">
        <v>508</v>
      </c>
      <c r="B290" s="2" t="s">
        <v>509</v>
      </c>
      <c r="C290" s="2" t="s">
        <v>230</v>
      </c>
      <c r="D290" s="2" t="s">
        <v>20</v>
      </c>
      <c r="E290" s="2" t="s">
        <v>10</v>
      </c>
      <c r="F290" s="2" t="s">
        <v>231</v>
      </c>
      <c r="G290" s="2"/>
      <c r="H290" s="2"/>
      <c r="I290" s="2" t="str">
        <f>TRIM(CLEAN(SUBSTITUTE(A290,CHAR(10)," ")))</f>
        <v>Lelas Sweets</v>
      </c>
      <c r="J290" s="2" t="str">
        <f>TRIM(CLEAN(SUBSTITUTE(B290,CHAR(10)," ")))</f>
        <v>230 W Parker Rd Suite 180A</v>
      </c>
      <c r="K290" s="3" t="str">
        <f>PROPER(TRIM(C290))</f>
        <v>Plano</v>
      </c>
      <c r="L290" t="str">
        <f>UPPER(LEFT(TRIM(D290),2))</f>
        <v>TX</v>
      </c>
      <c r="M290" t="str">
        <f>IF(OR(UPPER(E290)="UNITED STATES",UPPER(E290)="UNITED STATES OF AMERICA",UPPER(E290)="US",UPPER(E290)="USA"),"USA",E290)</f>
        <v>USA</v>
      </c>
      <c r="N290" t="str" cm="1">
        <f t="array" ref="N290">_xlfn.REGEXEXTRACT(F290,"\d{5}")</f>
        <v>75075</v>
      </c>
    </row>
    <row r="291" spans="1:14" ht="24" x14ac:dyDescent="0.15">
      <c r="A291" s="2" t="s">
        <v>328</v>
      </c>
      <c r="B291" s="2" t="s">
        <v>329</v>
      </c>
      <c r="C291" s="2" t="s">
        <v>230</v>
      </c>
      <c r="D291" s="2" t="s">
        <v>20</v>
      </c>
      <c r="E291" s="2" t="s">
        <v>10</v>
      </c>
      <c r="F291" s="2" t="s">
        <v>287</v>
      </c>
      <c r="G291" s="2"/>
      <c r="H291" s="2"/>
      <c r="I291" s="2" t="str">
        <f>TRIM(CLEAN(SUBSTITUTE(A291,CHAR(10)," ")))</f>
        <v>DERA COFFE</v>
      </c>
      <c r="J291" s="2" t="str">
        <f>TRIM(CLEAN(SUBSTITUTE(B291,CHAR(10)," ")))</f>
        <v>2320 Los Rios Blvd #101</v>
      </c>
      <c r="K291" s="3" t="str">
        <f>PROPER(TRIM(C291))</f>
        <v>Plano</v>
      </c>
      <c r="L291" t="str">
        <f>UPPER(LEFT(TRIM(D291),2))</f>
        <v>TX</v>
      </c>
      <c r="M291" t="str">
        <f>IF(OR(UPPER(E291)="UNITED STATES",UPPER(E291)="UNITED STATES OF AMERICA",UPPER(E291)="US",UPPER(E291)="USA"),"USA",E291)</f>
        <v>USA</v>
      </c>
      <c r="N291" t="str" cm="1">
        <f t="array" ref="N291">_xlfn.REGEXEXTRACT(F291,"\d{5}")</f>
        <v>75074</v>
      </c>
    </row>
    <row r="292" spans="1:14" ht="36" x14ac:dyDescent="0.15">
      <c r="A292" s="2" t="s">
        <v>445</v>
      </c>
      <c r="B292" s="2" t="s">
        <v>446</v>
      </c>
      <c r="C292" s="2" t="s">
        <v>230</v>
      </c>
      <c r="D292" s="2" t="s">
        <v>20</v>
      </c>
      <c r="E292" s="2" t="s">
        <v>10</v>
      </c>
      <c r="F292" s="2" t="s">
        <v>447</v>
      </c>
      <c r="G292" s="2"/>
      <c r="H292" s="2"/>
      <c r="I292" s="2" t="str">
        <f>TRIM(CLEAN(SUBSTITUTE(A292,CHAR(10)," ")))</f>
        <v>Horizon Cafe&amp;Kitchen</v>
      </c>
      <c r="J292" s="2" t="str">
        <f>TRIM(CLEAN(SUBSTITUTE(B292,CHAR(10)," ")))</f>
        <v>2901 W 15th St Ste A</v>
      </c>
      <c r="K292" s="3" t="str">
        <f>PROPER(TRIM(C292))</f>
        <v>Plano</v>
      </c>
      <c r="L292" t="str">
        <f>UPPER(LEFT(TRIM(D292),2))</f>
        <v>TX</v>
      </c>
      <c r="M292" t="str">
        <f>IF(OR(UPPER(E292)="UNITED STATES",UPPER(E292)="UNITED STATES OF AMERICA",UPPER(E292)="US",UPPER(E292)="USA"),"USA",E292)</f>
        <v>USA</v>
      </c>
      <c r="N292" t="str" cm="1">
        <f t="array" ref="N292">_xlfn.REGEXEXTRACT(F292,"\d{5}")</f>
        <v>77075</v>
      </c>
    </row>
    <row r="293" spans="1:14" ht="36" x14ac:dyDescent="0.15">
      <c r="A293" s="2" t="s">
        <v>448</v>
      </c>
      <c r="B293" s="2" t="s">
        <v>449</v>
      </c>
      <c r="C293" s="2" t="s">
        <v>230</v>
      </c>
      <c r="D293" s="2" t="s">
        <v>20</v>
      </c>
      <c r="E293" s="2" t="s">
        <v>152</v>
      </c>
      <c r="F293" s="2" t="s">
        <v>231</v>
      </c>
      <c r="G293" s="2"/>
      <c r="H293" s="2"/>
      <c r="I293" s="2" t="str">
        <f>TRIM(CLEAN(SUBSTITUTE(A293,CHAR(10)," ")))</f>
        <v>Horizon Specialty Market</v>
      </c>
      <c r="J293" s="2" t="str">
        <f>TRIM(CLEAN(SUBSTITUTE(B293,CHAR(10)," ")))</f>
        <v>2901 W 15th St. Sta: A</v>
      </c>
      <c r="K293" s="3" t="str">
        <f>PROPER(TRIM(C293))</f>
        <v>Plano</v>
      </c>
      <c r="L293" t="str">
        <f>UPPER(LEFT(TRIM(D293),2))</f>
        <v>TX</v>
      </c>
      <c r="M293" t="str">
        <f>IF(OR(UPPER(E293)="UNITED STATES",UPPER(E293)="UNITED STATES OF AMERICA",UPPER(E293)="US",UPPER(E293)="USA"),"USA",E293)</f>
        <v>USA</v>
      </c>
      <c r="N293" t="str" cm="1">
        <f t="array" ref="N293">_xlfn.REGEXEXTRACT(F293,"\d{5}")</f>
        <v>75075</v>
      </c>
    </row>
    <row r="294" spans="1:14" ht="36" x14ac:dyDescent="0.15">
      <c r="A294" s="2" t="s">
        <v>428</v>
      </c>
      <c r="B294" s="2" t="s">
        <v>429</v>
      </c>
      <c r="C294" s="2" t="s">
        <v>230</v>
      </c>
      <c r="D294" s="2" t="s">
        <v>102</v>
      </c>
      <c r="E294" s="2" t="s">
        <v>430</v>
      </c>
      <c r="F294" s="2" t="s">
        <v>383</v>
      </c>
      <c r="G294" s="2"/>
      <c r="H294" s="2"/>
      <c r="I294" s="2" t="str">
        <f>TRIM(CLEAN(SUBSTITUTE(A294,CHAR(10)," ")))</f>
        <v>Hadramout Restaurant Dallas</v>
      </c>
      <c r="J294" s="2" t="str">
        <f>TRIM(CLEAN(SUBSTITUTE(B294,CHAR(10)," ")))</f>
        <v>3825 w spring creek pkwy unit 206</v>
      </c>
      <c r="K294" s="3" t="str">
        <f>PROPER(TRIM(C294))</f>
        <v>Plano</v>
      </c>
      <c r="L294" s="8" t="s">
        <v>20</v>
      </c>
      <c r="M294" t="str">
        <f>IF(OR(UPPER(E294)="UNITED STATES",UPPER(E294)="UNITED STATES OF AMERICA",UPPER(E294)="US",UPPER(E294)="USA"),"USA",E294)</f>
        <v>USA</v>
      </c>
      <c r="N294" t="str" cm="1">
        <f t="array" ref="N294">_xlfn.REGEXEXTRACT(F294,"\d{5}")</f>
        <v>75023</v>
      </c>
    </row>
    <row r="295" spans="1:14" ht="24" x14ac:dyDescent="0.15">
      <c r="A295" s="2" t="s">
        <v>285</v>
      </c>
      <c r="B295" s="2" t="s">
        <v>286</v>
      </c>
      <c r="C295" s="2" t="s">
        <v>230</v>
      </c>
      <c r="D295" s="2" t="s">
        <v>20</v>
      </c>
      <c r="E295" s="2" t="s">
        <v>10</v>
      </c>
      <c r="F295" s="2" t="s">
        <v>287</v>
      </c>
      <c r="G295" s="2"/>
      <c r="H295" s="2"/>
      <c r="I295" s="2" t="str">
        <f>TRIM(CLEAN(SUBSTITUTE(A295,CHAR(10)," ")))</f>
        <v>Blue Fig</v>
      </c>
      <c r="J295" s="2" t="str">
        <f>TRIM(CLEAN(SUBSTITUTE(B295,CHAR(10)," ")))</f>
        <v>4101 E Park Blvd # 135</v>
      </c>
      <c r="K295" s="3" t="str">
        <f>PROPER(TRIM(C295))</f>
        <v>Plano</v>
      </c>
      <c r="L295" t="str">
        <f>UPPER(LEFT(TRIM(D295),2))</f>
        <v>TX</v>
      </c>
      <c r="M295" t="str">
        <f>IF(OR(UPPER(E295)="UNITED STATES",UPPER(E295)="UNITED STATES OF AMERICA",UPPER(E295)="US",UPPER(E295)="USA"),"USA",E295)</f>
        <v>USA</v>
      </c>
      <c r="N295" t="str" cm="1">
        <f t="array" ref="N295">_xlfn.REGEXEXTRACT(F295,"\d{5}")</f>
        <v>75074</v>
      </c>
    </row>
    <row r="296" spans="1:14" ht="48" x14ac:dyDescent="0.15">
      <c r="A296" s="2" t="s">
        <v>543</v>
      </c>
      <c r="B296" s="2" t="s">
        <v>544</v>
      </c>
      <c r="C296" s="2" t="s">
        <v>230</v>
      </c>
      <c r="D296" s="2" t="s">
        <v>20</v>
      </c>
      <c r="E296" s="2" t="s">
        <v>10</v>
      </c>
      <c r="F296" s="2" t="s">
        <v>287</v>
      </c>
      <c r="G296" s="2"/>
      <c r="H296" s="2"/>
      <c r="I296" s="2" t="str">
        <f>TRIM(CLEAN(SUBSTITUTE(A296,CHAR(10)," ")))</f>
        <v>Pistachio Roastery (Lozina)</v>
      </c>
      <c r="J296" s="2" t="str">
        <f>TRIM(CLEAN(SUBSTITUTE(B296,CHAR(10)," ")))</f>
        <v>4101 E Park Blvd #148, Plano, TX 75074</v>
      </c>
      <c r="K296" s="3" t="str">
        <f>PROPER(TRIM(C296))</f>
        <v>Plano</v>
      </c>
      <c r="L296" t="str">
        <f>UPPER(LEFT(TRIM(D296),2))</f>
        <v>TX</v>
      </c>
      <c r="M296" t="str">
        <f>IF(OR(UPPER(E296)="UNITED STATES",UPPER(E296)="UNITED STATES OF AMERICA",UPPER(E296)="US",UPPER(E296)="USA"),"USA",E296)</f>
        <v>USA</v>
      </c>
      <c r="N296" t="str" cm="1">
        <f t="array" ref="N296">_xlfn.REGEXEXTRACT(F296,"\d{5}")</f>
        <v>75074</v>
      </c>
    </row>
    <row r="297" spans="1:14" ht="24" x14ac:dyDescent="0.15">
      <c r="A297" s="2" t="s">
        <v>669</v>
      </c>
      <c r="B297" s="2" t="s">
        <v>670</v>
      </c>
      <c r="C297" s="2" t="s">
        <v>230</v>
      </c>
      <c r="D297" s="2" t="s">
        <v>20</v>
      </c>
      <c r="E297" s="2" t="s">
        <v>10</v>
      </c>
      <c r="F297" s="2" t="s">
        <v>287</v>
      </c>
      <c r="G297" s="2"/>
      <c r="H297" s="2"/>
      <c r="I297" s="2" t="str">
        <f>TRIM(CLEAN(SUBSTITUTE(A297,CHAR(10)," ")))</f>
        <v>Epic market 101</v>
      </c>
      <c r="J297" s="2" t="str">
        <f>TRIM(CLEAN(SUBSTITUTE(B297,CHAR(10)," ")))</f>
        <v>4301 14th St</v>
      </c>
      <c r="K297" s="3" t="str">
        <f>PROPER(TRIM(C297))</f>
        <v>Plano</v>
      </c>
      <c r="L297" t="str">
        <f>UPPER(LEFT(TRIM(D297),2))</f>
        <v>TX</v>
      </c>
      <c r="M297" t="str">
        <f>IF(OR(UPPER(E297)="UNITED STATES",UPPER(E297)="UNITED STATES OF AMERICA",UPPER(E297)="US",UPPER(E297)="USA"),"USA",E297)</f>
        <v>USA</v>
      </c>
      <c r="N297" t="str" cm="1">
        <f t="array" ref="N297">_xlfn.REGEXEXTRACT(F297,"\d{5}")</f>
        <v>75074</v>
      </c>
    </row>
    <row r="298" spans="1:14" ht="48" x14ac:dyDescent="0.15">
      <c r="A298" s="2" t="s">
        <v>379</v>
      </c>
      <c r="B298" s="2" t="s">
        <v>380</v>
      </c>
      <c r="C298" s="2" t="s">
        <v>230</v>
      </c>
      <c r="D298" s="2" t="s">
        <v>20</v>
      </c>
      <c r="E298" s="2" t="s">
        <v>152</v>
      </c>
      <c r="F298" s="2" t="s">
        <v>287</v>
      </c>
      <c r="G298" s="2"/>
      <c r="H298" s="2"/>
      <c r="I298" s="2" t="str">
        <f>TRIM(CLEAN(SUBSTITUTE(A298,CHAR(10)," ")))</f>
        <v>Epic Market</v>
      </c>
      <c r="J298" s="2" t="str">
        <f>TRIM(CLEAN(SUBSTITUTE(B298,CHAR(10)," ")))</f>
        <v>4301 14th St Suite #220, Plano, TX 75074</v>
      </c>
      <c r="K298" s="3" t="str">
        <f>PROPER(TRIM(C298))</f>
        <v>Plano</v>
      </c>
      <c r="L298" t="str">
        <f>UPPER(LEFT(TRIM(D298),2))</f>
        <v>TX</v>
      </c>
      <c r="M298" t="str">
        <f>IF(OR(UPPER(E298)="UNITED STATES",UPPER(E298)="UNITED STATES OF AMERICA",UPPER(E298)="US",UPPER(E298)="USA"),"USA",E298)</f>
        <v>USA</v>
      </c>
      <c r="N298" t="str" cm="1">
        <f t="array" ref="N298">_xlfn.REGEXEXTRACT(F298,"\d{5}")</f>
        <v>75074</v>
      </c>
    </row>
    <row r="299" spans="1:14" ht="36" x14ac:dyDescent="0.15">
      <c r="A299" s="2" t="s">
        <v>441</v>
      </c>
      <c r="B299" s="2" t="s">
        <v>442</v>
      </c>
      <c r="C299" s="2" t="s">
        <v>230</v>
      </c>
      <c r="D299" s="2" t="s">
        <v>402</v>
      </c>
      <c r="E299" s="2" t="s">
        <v>10</v>
      </c>
      <c r="F299" s="2" t="s">
        <v>294</v>
      </c>
      <c r="G299" s="2"/>
      <c r="H299" s="2"/>
      <c r="I299" s="2" t="str">
        <f>TRIM(CLEAN(SUBSTITUTE(A299,CHAR(10)," ")))</f>
        <v>Harissa Mediterranean (Sejdini)</v>
      </c>
      <c r="J299" s="2" t="str">
        <f>TRIM(CLEAN(SUBSTITUTE(B299,CHAR(10)," ")))</f>
        <v>5805 preston rd</v>
      </c>
      <c r="K299" s="3" t="str">
        <f>PROPER(TRIM(C299))</f>
        <v>Plano</v>
      </c>
      <c r="L299" t="str">
        <f>UPPER(LEFT(TRIM(D299),2))</f>
        <v>TX</v>
      </c>
      <c r="M299" t="str">
        <f>IF(OR(UPPER(E299)="UNITED STATES",UPPER(E299)="UNITED STATES OF AMERICA",UPPER(E299)="US",UPPER(E299)="USA"),"USA",E299)</f>
        <v>USA</v>
      </c>
      <c r="N299" t="str" cm="1">
        <f t="array" ref="N299">_xlfn.REGEXEXTRACT(F299,"\d{5}")</f>
        <v>75093</v>
      </c>
    </row>
    <row r="300" spans="1:14" x14ac:dyDescent="0.15">
      <c r="A300" s="2" t="s">
        <v>553</v>
      </c>
      <c r="B300" s="2" t="s">
        <v>554</v>
      </c>
      <c r="C300" s="2" t="s">
        <v>230</v>
      </c>
      <c r="D300" s="2" t="s">
        <v>20</v>
      </c>
      <c r="E300" s="2" t="s">
        <v>10</v>
      </c>
      <c r="F300" s="2" t="s">
        <v>231</v>
      </c>
      <c r="G300" s="2"/>
      <c r="H300" s="2"/>
      <c r="I300" s="2" t="str">
        <f>TRIM(CLEAN(SUBSTITUTE(A300,CHAR(10)," ")))</f>
        <v>Prime Doner</v>
      </c>
      <c r="J300" s="2" t="str">
        <f>TRIM(CLEAN(SUBSTITUTE(B300,CHAR(10)," ")))</f>
        <v>601W 15th st</v>
      </c>
      <c r="K300" s="3" t="str">
        <f>PROPER(TRIM(C300))</f>
        <v>Plano</v>
      </c>
      <c r="L300" t="str">
        <f>UPPER(LEFT(TRIM(D300),2))</f>
        <v>TX</v>
      </c>
      <c r="M300" t="str">
        <f>IF(OR(UPPER(E300)="UNITED STATES",UPPER(E300)="UNITED STATES OF AMERICA",UPPER(E300)="US",UPPER(E300)="USA"),"USA",E300)</f>
        <v>USA</v>
      </c>
      <c r="N300" t="str" cm="1">
        <f t="array" ref="N300">_xlfn.REGEXEXTRACT(F300,"\d{5}")</f>
        <v>75075</v>
      </c>
    </row>
    <row r="301" spans="1:14" ht="24" x14ac:dyDescent="0.15">
      <c r="A301" s="2" t="s">
        <v>548</v>
      </c>
      <c r="B301" s="2" t="s">
        <v>549</v>
      </c>
      <c r="C301" s="2" t="s">
        <v>465</v>
      </c>
      <c r="D301" s="2" t="s">
        <v>15</v>
      </c>
      <c r="E301" s="2" t="s">
        <v>10</v>
      </c>
      <c r="F301" s="2" t="s">
        <v>287</v>
      </c>
      <c r="G301" s="2"/>
      <c r="H301" s="2"/>
      <c r="I301" s="2" t="str">
        <f>TRIM(CLEAN(SUBSTITUTE(A301,CHAR(10)," ")))</f>
        <v>Plano halal meat</v>
      </c>
      <c r="J301" s="2" t="str">
        <f>TRIM(CLEAN(SUBSTITUTE(B301,CHAR(10)," ")))</f>
        <v>6100 k ave suit 102</v>
      </c>
      <c r="K301" s="3" t="str">
        <f>PROPER(TRIM(C301))</f>
        <v>Plano</v>
      </c>
      <c r="L301" t="str">
        <f>UPPER(LEFT(TRIM(D301),2))</f>
        <v>TX</v>
      </c>
      <c r="M301" t="str">
        <f>IF(OR(UPPER(E301)="UNITED STATES",UPPER(E301)="UNITED STATES OF AMERICA",UPPER(E301)="US",UPPER(E301)="USA"),"USA",E301)</f>
        <v>USA</v>
      </c>
      <c r="N301" t="str" cm="1">
        <f t="array" ref="N301">_xlfn.REGEXEXTRACT(F301,"\d{5}")</f>
        <v>75074</v>
      </c>
    </row>
    <row r="302" spans="1:14" ht="36" x14ac:dyDescent="0.15">
      <c r="A302" s="2" t="s">
        <v>291</v>
      </c>
      <c r="B302" s="2" t="s">
        <v>292</v>
      </c>
      <c r="C302" s="2" t="s">
        <v>293</v>
      </c>
      <c r="D302" s="2" t="s">
        <v>20</v>
      </c>
      <c r="E302" s="2" t="s">
        <v>10</v>
      </c>
      <c r="F302" s="2" t="s">
        <v>294</v>
      </c>
      <c r="G302" s="2"/>
      <c r="H302" s="2"/>
      <c r="I302" s="2" t="str">
        <f>TRIM(CLEAN(SUBSTITUTE(A302,CHAR(10)," ")))</f>
        <v>Bosphorus Mediterranean Grill</v>
      </c>
      <c r="J302" s="2" t="str">
        <f>TRIM(CLEAN(SUBSTITUTE(B302,CHAR(10)," ")))</f>
        <v>6121 W Park Blvd, Plano, TX 75093</v>
      </c>
      <c r="K302" s="3" t="str">
        <f>PROPER(TRIM(C302))</f>
        <v>Plano</v>
      </c>
      <c r="L302" t="str">
        <f>UPPER(LEFT(TRIM(D302),2))</f>
        <v>TX</v>
      </c>
      <c r="M302" t="str">
        <f>IF(OR(UPPER(E302)="UNITED STATES",UPPER(E302)="UNITED STATES OF AMERICA",UPPER(E302)="US",UPPER(E302)="USA"),"USA",E302)</f>
        <v>USA</v>
      </c>
      <c r="N302" t="str" cm="1">
        <f t="array" ref="N302">_xlfn.REGEXEXTRACT(F302,"\d{5}")</f>
        <v>75093</v>
      </c>
    </row>
    <row r="303" spans="1:14" ht="36" x14ac:dyDescent="0.15">
      <c r="A303" s="2" t="s">
        <v>532</v>
      </c>
      <c r="B303" s="2" t="s">
        <v>533</v>
      </c>
      <c r="C303" s="2" t="s">
        <v>293</v>
      </c>
      <c r="D303" s="2" t="s">
        <v>20</v>
      </c>
      <c r="E303" s="2" t="s">
        <v>10</v>
      </c>
      <c r="F303" s="2" t="s">
        <v>383</v>
      </c>
      <c r="G303" s="2"/>
      <c r="H303" s="2"/>
      <c r="I303" s="2" t="str">
        <f>TRIM(CLEAN(SUBSTITUTE(A303,CHAR(10)," ")))</f>
        <v>Oasis International Market</v>
      </c>
      <c r="J303" s="2" t="str">
        <f>TRIM(CLEAN(SUBSTITUTE(B303,CHAR(10)," ")))</f>
        <v>6150 Independence Pkwy,</v>
      </c>
      <c r="K303" s="3" t="str">
        <f>PROPER(TRIM(C303))</f>
        <v>Plano</v>
      </c>
      <c r="L303" t="str">
        <f>UPPER(LEFT(TRIM(D303),2))</f>
        <v>TX</v>
      </c>
      <c r="M303" t="str">
        <f>IF(OR(UPPER(E303)="UNITED STATES",UPPER(E303)="UNITED STATES OF AMERICA",UPPER(E303)="US",UPPER(E303)="USA"),"USA",E303)</f>
        <v>USA</v>
      </c>
      <c r="N303" t="str" cm="1">
        <f t="array" ref="N303">_xlfn.REGEXEXTRACT(F303,"\d{5}")</f>
        <v>75023</v>
      </c>
    </row>
    <row r="304" spans="1:14" ht="24" x14ac:dyDescent="0.15">
      <c r="A304" s="2" t="s">
        <v>381</v>
      </c>
      <c r="B304" s="2" t="s">
        <v>382</v>
      </c>
      <c r="C304" s="2" t="s">
        <v>230</v>
      </c>
      <c r="D304" s="2" t="s">
        <v>15</v>
      </c>
      <c r="E304" s="2" t="s">
        <v>10</v>
      </c>
      <c r="F304" s="2" t="s">
        <v>383</v>
      </c>
      <c r="G304" s="2"/>
      <c r="H304" s="2"/>
      <c r="I304" s="2" t="str">
        <f>TRIM(CLEAN(SUBSTITUTE(A304,CHAR(10)," ")))</f>
        <v>Euro Deli Too</v>
      </c>
      <c r="J304" s="2" t="str">
        <f>TRIM(CLEAN(SUBSTITUTE(B304,CHAR(10)," ")))</f>
        <v>6832 Coit rd. ste 300</v>
      </c>
      <c r="K304" s="3" t="str">
        <f>PROPER(TRIM(C304))</f>
        <v>Plano</v>
      </c>
      <c r="L304" t="str">
        <f>UPPER(LEFT(TRIM(D304),2))</f>
        <v>TX</v>
      </c>
      <c r="M304" t="str">
        <f>IF(OR(UPPER(E304)="UNITED STATES",UPPER(E304)="UNITED STATES OF AMERICA",UPPER(E304)="US",UPPER(E304)="USA"),"USA",E304)</f>
        <v>USA</v>
      </c>
      <c r="N304" t="str" cm="1">
        <f t="array" ref="N304">_xlfn.REGEXEXTRACT(F304,"\d{5}")</f>
        <v>75023</v>
      </c>
    </row>
    <row r="305" spans="1:14" ht="60" x14ac:dyDescent="0.15">
      <c r="A305" s="2" t="s">
        <v>602</v>
      </c>
      <c r="B305" s="2" t="s">
        <v>603</v>
      </c>
      <c r="C305" s="2" t="s">
        <v>230</v>
      </c>
      <c r="D305" s="2" t="s">
        <v>20</v>
      </c>
      <c r="E305" s="2" t="s">
        <v>10</v>
      </c>
      <c r="F305" s="2" t="s">
        <v>301</v>
      </c>
      <c r="G305" s="2"/>
      <c r="H305" s="2"/>
      <c r="I305" s="2" t="str">
        <f>TRIM(CLEAN(SUBSTITUTE(A305,CHAR(10)," ")))</f>
        <v>Sky Blue Gelato LLC ( F&amp;D LEGACY LLC)</v>
      </c>
      <c r="J305" s="2" t="str">
        <f>TRIM(CLEAN(SUBSTITUTE(B305,CHAR(10)," ")))</f>
        <v>7140 Bishop Rd</v>
      </c>
      <c r="K305" s="3" t="str">
        <f>PROPER(TRIM(C305))</f>
        <v>Plano</v>
      </c>
      <c r="L305" t="str">
        <f>UPPER(LEFT(TRIM(D305),2))</f>
        <v>TX</v>
      </c>
      <c r="M305" t="str">
        <f>IF(OR(UPPER(E305)="UNITED STATES",UPPER(E305)="UNITED STATES OF AMERICA",UPPER(E305)="US",UPPER(E305)="USA"),"USA",E305)</f>
        <v>USA</v>
      </c>
      <c r="N305" t="str" cm="1">
        <f t="array" ref="N305">_xlfn.REGEXEXTRACT(F305,"\d{5}")</f>
        <v>75024</v>
      </c>
    </row>
    <row r="306" spans="1:14" ht="36" x14ac:dyDescent="0.15">
      <c r="A306" s="2" t="s">
        <v>299</v>
      </c>
      <c r="B306" s="2" t="s">
        <v>300</v>
      </c>
      <c r="C306" s="2" t="s">
        <v>230</v>
      </c>
      <c r="D306" s="2" t="s">
        <v>20</v>
      </c>
      <c r="E306" s="2" t="s">
        <v>10</v>
      </c>
      <c r="F306" s="2" t="s">
        <v>301</v>
      </c>
      <c r="G306" s="2"/>
      <c r="H306" s="2"/>
      <c r="I306" s="2" t="str">
        <f>TRIM(CLEAN(SUBSTITUTE(A306,CHAR(10)," ")))</f>
        <v>Cafe Istanbul</v>
      </c>
      <c r="J306" s="2" t="str">
        <f>TRIM(CLEAN(SUBSTITUTE(B306,CHAR(10)," ")))</f>
        <v>7300 Lone Star Dr Suite C160</v>
      </c>
      <c r="K306" s="3" t="str">
        <f>PROPER(TRIM(C306))</f>
        <v>Plano</v>
      </c>
      <c r="L306" t="str">
        <f>UPPER(LEFT(TRIM(D306),2))</f>
        <v>TX</v>
      </c>
      <c r="M306" t="str">
        <f>IF(OR(UPPER(E306)="UNITED STATES",UPPER(E306)="UNITED STATES OF AMERICA",UPPER(E306)="US",UPPER(E306)="USA"),"USA",E306)</f>
        <v>USA</v>
      </c>
      <c r="N306" t="str" cm="1">
        <f t="array" ref="N306">_xlfn.REGEXEXTRACT(F306,"\d{5}")</f>
        <v>75024</v>
      </c>
    </row>
    <row r="307" spans="1:14" ht="24" x14ac:dyDescent="0.15">
      <c r="A307" s="2" t="s">
        <v>637</v>
      </c>
      <c r="B307" s="2" t="s">
        <v>638</v>
      </c>
      <c r="C307" s="2" t="s">
        <v>230</v>
      </c>
      <c r="D307" s="2" t="s">
        <v>20</v>
      </c>
      <c r="E307" s="2" t="s">
        <v>10</v>
      </c>
      <c r="F307" s="2" t="s">
        <v>301</v>
      </c>
      <c r="G307" s="2"/>
      <c r="H307" s="2"/>
      <c r="I307" s="2" t="str">
        <f>TRIM(CLEAN(SUBSTITUTE(A307,CHAR(10)," ")))</f>
        <v>Turkish Cafe &amp; Lounge</v>
      </c>
      <c r="J307" s="2" t="str">
        <f>TRIM(CLEAN(SUBSTITUTE(B307,CHAR(10)," ")))</f>
        <v>8412 Preston Rd</v>
      </c>
      <c r="K307" s="3" t="str">
        <f>PROPER(TRIM(C307))</f>
        <v>Plano</v>
      </c>
      <c r="L307" t="str">
        <f>UPPER(LEFT(TRIM(D307),2))</f>
        <v>TX</v>
      </c>
      <c r="M307" t="str">
        <f>IF(OR(UPPER(E307)="UNITED STATES",UPPER(E307)="UNITED STATES OF AMERICA",UPPER(E307)="US",UPPER(E307)="USA"),"USA",E307)</f>
        <v>USA</v>
      </c>
      <c r="N307" t="str" cm="1">
        <f t="array" ref="N307">_xlfn.REGEXEXTRACT(F307,"\d{5}")</f>
        <v>75024</v>
      </c>
    </row>
    <row r="308" spans="1:14" ht="36" x14ac:dyDescent="0.15">
      <c r="A308" s="2" t="s">
        <v>1103</v>
      </c>
      <c r="B308" s="2" t="s">
        <v>1104</v>
      </c>
      <c r="C308" s="2" t="s">
        <v>1105</v>
      </c>
      <c r="D308" s="2" t="s">
        <v>1106</v>
      </c>
      <c r="E308" s="2" t="s">
        <v>10</v>
      </c>
      <c r="F308" s="2" t="s">
        <v>1107</v>
      </c>
      <c r="G308" s="2"/>
      <c r="H308" s="2"/>
      <c r="I308" s="2" t="str">
        <f>TRIM(CLEAN(SUBSTITUTE(A308,CHAR(10)," ")))</f>
        <v>IBF International</v>
      </c>
      <c r="J308" s="2" t="str">
        <f>TRIM(CLEAN(SUBSTITUTE(B308,CHAR(10)," ")))</f>
        <v>496 Lower Fricks Lock Rd, unit 212</v>
      </c>
      <c r="K308" s="3" t="str">
        <f>PROPER(TRIM(C308))</f>
        <v>Pottstown</v>
      </c>
      <c r="L308" t="str">
        <f>UPPER(LEFT(TRIM(D308),2))</f>
        <v>PA</v>
      </c>
      <c r="M308" t="str">
        <f>IF(OR(UPPER(E308)="UNITED STATES",UPPER(E308)="UNITED STATES OF AMERICA",UPPER(E308)="US",UPPER(E308)="USA"),"USA",E308)</f>
        <v>USA</v>
      </c>
      <c r="N308" t="str" cm="1">
        <f t="array" ref="N308">_xlfn.REGEXEXTRACT(F308,"\d{5}")</f>
        <v>19465</v>
      </c>
    </row>
    <row r="309" spans="1:14" ht="24" x14ac:dyDescent="0.15">
      <c r="A309" s="2" t="s">
        <v>344</v>
      </c>
      <c r="B309" s="2" t="s">
        <v>345</v>
      </c>
      <c r="C309" s="2" t="s">
        <v>346</v>
      </c>
      <c r="D309" s="2" t="s">
        <v>102</v>
      </c>
      <c r="E309" s="2" t="s">
        <v>10</v>
      </c>
      <c r="F309" s="2" t="s">
        <v>347</v>
      </c>
      <c r="G309" s="2"/>
      <c r="H309" s="2"/>
      <c r="I309" s="2" t="str">
        <f>TRIM(CLEAN(SUBSTITUTE(A309,CHAR(10)," ")))</f>
        <v>Desi District PROSPER</v>
      </c>
      <c r="J309" s="2" t="str">
        <f>TRIM(CLEAN(SUBSTITUTE(B309,CHAR(10)," ")))</f>
        <v>2275 University Dr</v>
      </c>
      <c r="K309" s="3" t="str">
        <f>PROPER(TRIM(C309))</f>
        <v>Prosper</v>
      </c>
      <c r="L309" s="8" t="s">
        <v>20</v>
      </c>
      <c r="M309" t="str">
        <f>IF(OR(UPPER(E309)="UNITED STATES",UPPER(E309)="UNITED STATES OF AMERICA",UPPER(E309)="US",UPPER(E309)="USA"),"USA",E309)</f>
        <v>USA</v>
      </c>
      <c r="N309" t="str" cm="1">
        <f t="array" ref="N309">_xlfn.REGEXEXTRACT(F309,"\d{5}")</f>
        <v>75033</v>
      </c>
    </row>
    <row r="310" spans="1:14" ht="24" x14ac:dyDescent="0.15">
      <c r="A310" s="2" t="s">
        <v>592</v>
      </c>
      <c r="B310" s="2" t="s">
        <v>593</v>
      </c>
      <c r="C310" s="2" t="s">
        <v>207</v>
      </c>
      <c r="D310" s="2" t="s">
        <v>20</v>
      </c>
      <c r="E310" s="2" t="s">
        <v>10</v>
      </c>
      <c r="F310" s="2" t="s">
        <v>196</v>
      </c>
      <c r="G310" s="2"/>
      <c r="H310" s="2"/>
      <c r="I310" s="2" t="str">
        <f>TRIM(CLEAN(SUBSTITUTE(A310,CHAR(10)," ")))</f>
        <v>Shawarma Al Reem</v>
      </c>
      <c r="J310" s="2" t="str">
        <f>TRIM(CLEAN(SUBSTITUTE(B310,CHAR(10)," ")))</f>
        <v>100 S Central Expy #53</v>
      </c>
      <c r="K310" s="3" t="str">
        <f>PROPER(TRIM(C310))</f>
        <v>Richardson</v>
      </c>
      <c r="L310" t="str">
        <f>UPPER(LEFT(TRIM(D310),2))</f>
        <v>TX</v>
      </c>
      <c r="M310" t="str">
        <f>IF(OR(UPPER(E310)="UNITED STATES",UPPER(E310)="UNITED STATES OF AMERICA",UPPER(E310)="US",UPPER(E310)="USA"),"USA",E310)</f>
        <v>USA</v>
      </c>
      <c r="N310" t="str" cm="1">
        <f t="array" ref="N310">_xlfn.REGEXEXTRACT(F310,"\d{5}")</f>
        <v>75080</v>
      </c>
    </row>
    <row r="311" spans="1:14" ht="24" x14ac:dyDescent="0.15">
      <c r="A311" s="2" t="s">
        <v>583</v>
      </c>
      <c r="B311" s="2" t="s">
        <v>584</v>
      </c>
      <c r="C311" s="2" t="s">
        <v>207</v>
      </c>
      <c r="D311" s="2" t="s">
        <v>20</v>
      </c>
      <c r="E311" s="2" t="s">
        <v>10</v>
      </c>
      <c r="F311" s="2" t="s">
        <v>196</v>
      </c>
      <c r="G311" s="2"/>
      <c r="H311" s="2"/>
      <c r="I311" s="2" t="str">
        <f>TRIM(CLEAN(SUBSTITUTE(A311,CHAR(10)," ")))</f>
        <v>Selda Bakery</v>
      </c>
      <c r="J311" s="2" t="str">
        <f>TRIM(CLEAN(SUBSTITUTE(B311,CHAR(10)," ")))</f>
        <v>101 S Coit Rd #10</v>
      </c>
      <c r="K311" s="3" t="str">
        <f>PROPER(TRIM(C311))</f>
        <v>Richardson</v>
      </c>
      <c r="L311" t="str">
        <f>UPPER(LEFT(TRIM(D311),2))</f>
        <v>TX</v>
      </c>
      <c r="M311" t="str">
        <f>IF(OR(UPPER(E311)="UNITED STATES",UPPER(E311)="UNITED STATES OF AMERICA",UPPER(E311)="US",UPPER(E311)="USA"),"USA",E311)</f>
        <v>USA</v>
      </c>
      <c r="N311" t="str" cm="1">
        <f t="array" ref="N311">_xlfn.REGEXEXTRACT(F311,"\d{5}")</f>
        <v>75080</v>
      </c>
    </row>
    <row r="312" spans="1:14" ht="36" x14ac:dyDescent="0.15">
      <c r="A312" s="2" t="s">
        <v>496</v>
      </c>
      <c r="B312" s="2" t="s">
        <v>497</v>
      </c>
      <c r="C312" s="2" t="s">
        <v>207</v>
      </c>
      <c r="D312" s="2" t="s">
        <v>20</v>
      </c>
      <c r="E312" s="2" t="s">
        <v>10</v>
      </c>
      <c r="F312" s="2" t="s">
        <v>208</v>
      </c>
      <c r="G312" s="2"/>
      <c r="H312" s="2"/>
      <c r="I312" s="2" t="str">
        <f>TRIM(CLEAN(SUBSTITUTE(A312,CHAR(10)," ")))</f>
        <v>Khashoka</v>
      </c>
      <c r="J312" s="2" t="str">
        <f>TRIM(CLEAN(SUBSTITUTE(B312,CHAR(10)," ")))</f>
        <v>1057 S Sherman St ste 130</v>
      </c>
      <c r="K312" s="3" t="str">
        <f>PROPER(TRIM(C312))</f>
        <v>Richardson</v>
      </c>
      <c r="L312" t="str">
        <f>UPPER(LEFT(TRIM(D312),2))</f>
        <v>TX</v>
      </c>
      <c r="M312" t="str">
        <f>IF(OR(UPPER(E312)="UNITED STATES",UPPER(E312)="UNITED STATES OF AMERICA",UPPER(E312)="US",UPPER(E312)="USA"),"USA",E312)</f>
        <v>USA</v>
      </c>
      <c r="N312" t="str" cm="1">
        <f t="array" ref="N312">_xlfn.REGEXEXTRACT(F312,"\d{5}")</f>
        <v>75081</v>
      </c>
    </row>
    <row r="313" spans="1:14" ht="48" x14ac:dyDescent="0.15">
      <c r="A313" s="2" t="s">
        <v>239</v>
      </c>
      <c r="B313" s="2" t="s">
        <v>240</v>
      </c>
      <c r="C313" s="2" t="s">
        <v>207</v>
      </c>
      <c r="D313" s="2" t="s">
        <v>20</v>
      </c>
      <c r="E313" s="2" t="s">
        <v>10</v>
      </c>
      <c r="F313" s="2" t="s">
        <v>208</v>
      </c>
      <c r="G313" s="2"/>
      <c r="H313" s="2"/>
      <c r="I313" s="2" t="str">
        <f>TRIM(CLEAN(SUBSTITUTE(A313,CHAR(10)," ")))</f>
        <v>Anatolia Mart Mediterranean &amp; Turkish Food Market</v>
      </c>
      <c r="J313" s="2" t="str">
        <f>TRIM(CLEAN(SUBSTITUTE(B313,CHAR(10)," ")))</f>
        <v>1144 N Plano Rd #107,</v>
      </c>
      <c r="K313" s="3" t="str">
        <f>PROPER(TRIM(C313))</f>
        <v>Richardson</v>
      </c>
      <c r="L313" t="str">
        <f>UPPER(LEFT(TRIM(D313),2))</f>
        <v>TX</v>
      </c>
      <c r="M313" t="str">
        <f>IF(OR(UPPER(E313)="UNITED STATES",UPPER(E313)="UNITED STATES OF AMERICA",UPPER(E313)="US",UPPER(E313)="USA"),"USA",E313)</f>
        <v>USA</v>
      </c>
      <c r="N313" t="str" cm="1">
        <f t="array" ref="N313">_xlfn.REGEXEXTRACT(F313,"\d{5}")</f>
        <v>75081</v>
      </c>
    </row>
    <row r="314" spans="1:14" ht="36" x14ac:dyDescent="0.15">
      <c r="A314" s="2" t="s">
        <v>608</v>
      </c>
      <c r="B314" s="2" t="s">
        <v>609</v>
      </c>
      <c r="C314" s="2" t="s">
        <v>207</v>
      </c>
      <c r="D314" s="2" t="s">
        <v>20</v>
      </c>
      <c r="E314" s="2" t="s">
        <v>10</v>
      </c>
      <c r="F314" s="2" t="s">
        <v>208</v>
      </c>
      <c r="G314" s="2"/>
      <c r="H314" s="2"/>
      <c r="I314" s="2" t="str">
        <f>TRIM(CLEAN(SUBSTITUTE(A314,CHAR(10)," ")))</f>
        <v>Sugar - Sweets &amp; Gelato</v>
      </c>
      <c r="J314" s="2" t="str">
        <f>TRIM(CLEAN(SUBSTITUTE(B314,CHAR(10)," ")))</f>
        <v>1403 E Campbell Rd Suite 110</v>
      </c>
      <c r="K314" s="3" t="str">
        <f>PROPER(TRIM(C314))</f>
        <v>Richardson</v>
      </c>
      <c r="L314" t="str">
        <f>UPPER(LEFT(TRIM(D314),2))</f>
        <v>TX</v>
      </c>
      <c r="M314" t="str">
        <f>IF(OR(UPPER(E314)="UNITED STATES",UPPER(E314)="UNITED STATES OF AMERICA",UPPER(E314)="US",UPPER(E314)="USA"),"USA",E314)</f>
        <v>USA</v>
      </c>
      <c r="N314" t="str" cm="1">
        <f t="array" ref="N314">_xlfn.REGEXEXTRACT(F314,"\d{5}")</f>
        <v>75081</v>
      </c>
    </row>
    <row r="315" spans="1:14" ht="36" x14ac:dyDescent="0.15">
      <c r="A315" s="2" t="s">
        <v>624</v>
      </c>
      <c r="B315" s="2" t="s">
        <v>609</v>
      </c>
      <c r="C315" s="2" t="s">
        <v>207</v>
      </c>
      <c r="D315" s="2" t="s">
        <v>20</v>
      </c>
      <c r="E315" s="2" t="s">
        <v>10</v>
      </c>
      <c r="F315" s="2" t="s">
        <v>208</v>
      </c>
      <c r="G315" s="2"/>
      <c r="H315" s="2"/>
      <c r="I315" s="2" t="str">
        <f>TRIM(CLEAN(SUBSTITUTE(A315,CHAR(10)," ")))</f>
        <v>The Gelato Cone</v>
      </c>
      <c r="J315" s="2" t="str">
        <f>TRIM(CLEAN(SUBSTITUTE(B315,CHAR(10)," ")))</f>
        <v>1403 E Campbell Rd Suite 110</v>
      </c>
      <c r="K315" s="3" t="str">
        <f>PROPER(TRIM(C315))</f>
        <v>Richardson</v>
      </c>
      <c r="L315" t="str">
        <f>UPPER(LEFT(TRIM(D315),2))</f>
        <v>TX</v>
      </c>
      <c r="M315" t="str">
        <f>IF(OR(UPPER(E315)="UNITED STATES",UPPER(E315)="UNITED STATES OF AMERICA",UPPER(E315)="US",UPPER(E315)="USA"),"USA",E315)</f>
        <v>USA</v>
      </c>
      <c r="N315" t="str" cm="1">
        <f t="array" ref="N315">_xlfn.REGEXEXTRACT(F315,"\d{5}")</f>
        <v>75081</v>
      </c>
    </row>
    <row r="316" spans="1:14" ht="24" x14ac:dyDescent="0.15">
      <c r="A316" s="2" t="s">
        <v>498</v>
      </c>
      <c r="B316" s="2" t="s">
        <v>499</v>
      </c>
      <c r="C316" s="2" t="s">
        <v>207</v>
      </c>
      <c r="D316" s="2" t="s">
        <v>20</v>
      </c>
      <c r="E316" s="2" t="s">
        <v>10</v>
      </c>
      <c r="F316" s="2" t="s">
        <v>208</v>
      </c>
      <c r="G316" s="2"/>
      <c r="H316" s="2"/>
      <c r="I316" s="2" t="str">
        <f>TRIM(CLEAN(SUBSTITUTE(A316,CHAR(10)," ")))</f>
        <v>La Souq</v>
      </c>
      <c r="J316" s="2" t="str">
        <f>TRIM(CLEAN(SUBSTITUTE(B316,CHAR(10)," ")))</f>
        <v>150 W Main St ste 900</v>
      </c>
      <c r="K316" s="3" t="str">
        <f>PROPER(TRIM(C316))</f>
        <v>Richardson</v>
      </c>
      <c r="L316" t="str">
        <f>UPPER(LEFT(TRIM(D316),2))</f>
        <v>TX</v>
      </c>
      <c r="M316" t="str">
        <f>IF(OR(UPPER(E316)="UNITED STATES",UPPER(E316)="UNITED STATES OF AMERICA",UPPER(E316)="US",UPPER(E316)="USA"),"USA",E316)</f>
        <v>USA</v>
      </c>
      <c r="N316" t="str" cm="1">
        <f t="array" ref="N316">_xlfn.REGEXEXTRACT(F316,"\d{5}")</f>
        <v>75081</v>
      </c>
    </row>
    <row r="317" spans="1:14" ht="48" x14ac:dyDescent="0.15">
      <c r="A317" s="2" t="s">
        <v>205</v>
      </c>
      <c r="B317" s="2" t="s">
        <v>206</v>
      </c>
      <c r="C317" s="2" t="s">
        <v>207</v>
      </c>
      <c r="D317" s="2" t="s">
        <v>20</v>
      </c>
      <c r="E317" s="2" t="s">
        <v>10</v>
      </c>
      <c r="F317" s="2" t="s">
        <v>208</v>
      </c>
      <c r="G317" s="2"/>
      <c r="H317" s="2"/>
      <c r="I317" s="2" t="str">
        <f>TRIM(CLEAN(SUBSTITUTE(A317,CHAR(10)," ")))</f>
        <v>AFGHAN ASIAN HALAL MARKET</v>
      </c>
      <c r="J317" s="2" t="str">
        <f>TRIM(CLEAN(SUBSTITUTE(B317,CHAR(10)," ")))</f>
        <v>1750 Alma Rd #100</v>
      </c>
      <c r="K317" s="3" t="str">
        <f>PROPER(TRIM(C317))</f>
        <v>Richardson</v>
      </c>
      <c r="L317" t="str">
        <f>UPPER(LEFT(TRIM(D317),2))</f>
        <v>TX</v>
      </c>
      <c r="M317" t="str">
        <f>IF(OR(UPPER(E317)="UNITED STATES",UPPER(E317)="UNITED STATES OF AMERICA",UPPER(E317)="US",UPPER(E317)="USA"),"USA",E317)</f>
        <v>USA</v>
      </c>
      <c r="N317" t="str" cm="1">
        <f t="array" ref="N317">_xlfn.REGEXEXTRACT(F317,"\d{5}")</f>
        <v>75081</v>
      </c>
    </row>
    <row r="318" spans="1:14" ht="24" x14ac:dyDescent="0.15">
      <c r="A318" s="2" t="s">
        <v>266</v>
      </c>
      <c r="B318" s="2" t="s">
        <v>267</v>
      </c>
      <c r="C318" s="2" t="s">
        <v>207</v>
      </c>
      <c r="D318" s="2" t="s">
        <v>268</v>
      </c>
      <c r="E318" s="2" t="s">
        <v>10</v>
      </c>
      <c r="F318" s="2"/>
      <c r="G318" s="2"/>
      <c r="H318" s="2"/>
      <c r="I318" s="2" t="str">
        <f>TRIM(CLEAN(SUBSTITUTE(A318,CHAR(10)," ")))</f>
        <v>Ayat Restuarant</v>
      </c>
      <c r="J318" s="2" t="str">
        <f>TRIM(CLEAN(SUBSTITUTE(B318,CHAR(10)," ")))</f>
        <v>200 w spring valley road</v>
      </c>
      <c r="K318" s="3" t="str">
        <f>PROPER(TRIM(C318))</f>
        <v>Richardson</v>
      </c>
      <c r="L318" s="8" t="s">
        <v>20</v>
      </c>
      <c r="M318" t="str">
        <f>IF(OR(UPPER(E318)="UNITED STATES",UPPER(E318)="UNITED STATES OF AMERICA",UPPER(E318)="US",UPPER(E318)="USA"),"USA",E318)</f>
        <v>USA</v>
      </c>
      <c r="N318" t="e" cm="1" vm="1">
        <f t="array" ref="N318">_xlfn.REGEXEXTRACT(F318,"\d{5}")</f>
        <v>#N/A</v>
      </c>
    </row>
    <row r="319" spans="1:14" ht="36" x14ac:dyDescent="0.15">
      <c r="A319" s="2" t="s">
        <v>438</v>
      </c>
      <c r="B319" s="2" t="s">
        <v>439</v>
      </c>
      <c r="C319" s="2" t="s">
        <v>207</v>
      </c>
      <c r="D319" s="2" t="s">
        <v>15</v>
      </c>
      <c r="E319" s="2" t="s">
        <v>10</v>
      </c>
      <c r="F319" s="2" t="s">
        <v>440</v>
      </c>
      <c r="G319" s="2"/>
      <c r="H319" s="2"/>
      <c r="I319" s="2" t="str">
        <f>TRIM(CLEAN(SUBSTITUTE(A319,CHAR(10)," ")))</f>
        <v>Halex Llc</v>
      </c>
      <c r="J319" s="2" t="str">
        <f>TRIM(CLEAN(SUBSTITUTE(B319,CHAR(10)," ")))</f>
        <v>2050 N Plano Rd Suite 300-D</v>
      </c>
      <c r="K319" s="3" t="str">
        <f>PROPER(TRIM(C319))</f>
        <v>Richardson</v>
      </c>
      <c r="L319" t="str">
        <f>UPPER(LEFT(TRIM(D319),2))</f>
        <v>TX</v>
      </c>
      <c r="M319" t="str">
        <f>IF(OR(UPPER(E319)="UNITED STATES",UPPER(E319)="UNITED STATES OF AMERICA",UPPER(E319)="US",UPPER(E319)="USA"),"USA",E319)</f>
        <v>USA</v>
      </c>
      <c r="N319" t="str" cm="1">
        <f t="array" ref="N319">_xlfn.REGEXEXTRACT(F319,"\d{5}")</f>
        <v>75082</v>
      </c>
    </row>
    <row r="320" spans="1:14" ht="24" x14ac:dyDescent="0.15">
      <c r="A320" s="2" t="s">
        <v>523</v>
      </c>
      <c r="B320" s="2" t="s">
        <v>524</v>
      </c>
      <c r="C320" s="2" t="s">
        <v>525</v>
      </c>
      <c r="D320" s="2" t="s">
        <v>15</v>
      </c>
      <c r="E320" s="2" t="s">
        <v>10</v>
      </c>
      <c r="F320" s="2" t="s">
        <v>196</v>
      </c>
      <c r="G320" s="2"/>
      <c r="H320" s="2"/>
      <c r="I320" s="2" t="str">
        <f>TRIM(CLEAN(SUBSTITUTE(A320,CHAR(10)," ")))</f>
        <v>NAY</v>
      </c>
      <c r="J320" s="2" t="str">
        <f>TRIM(CLEAN(SUBSTITUTE(B320,CHAR(10)," ")))</f>
        <v>2100 Alamo Road</v>
      </c>
      <c r="K320" s="3" t="str">
        <f>PROPER(TRIM(C320))</f>
        <v>Richardson</v>
      </c>
      <c r="L320" t="str">
        <f>UPPER(LEFT(TRIM(D320),2))</f>
        <v>TX</v>
      </c>
      <c r="M320" t="str">
        <f>IF(OR(UPPER(E320)="UNITED STATES",UPPER(E320)="UNITED STATES OF AMERICA",UPPER(E320)="US",UPPER(E320)="USA"),"USA",E320)</f>
        <v>USA</v>
      </c>
      <c r="N320" t="str" cm="1">
        <f t="array" ref="N320">_xlfn.REGEXEXTRACT(F320,"\d{5}")</f>
        <v>75080</v>
      </c>
    </row>
    <row r="321" spans="1:14" ht="60" x14ac:dyDescent="0.15">
      <c r="A321" s="2" t="s">
        <v>404</v>
      </c>
      <c r="B321" s="2" t="s">
        <v>405</v>
      </c>
      <c r="C321" s="2" t="s">
        <v>207</v>
      </c>
      <c r="D321" s="2" t="s">
        <v>20</v>
      </c>
      <c r="E321" s="2" t="s">
        <v>10</v>
      </c>
      <c r="F321" s="2" t="s">
        <v>208</v>
      </c>
      <c r="G321" s="2"/>
      <c r="H321" s="2"/>
      <c r="I321" s="2" t="str">
        <f>TRIM(CLEAN(SUBSTITUTE(A321,CHAR(10)," ")))</f>
        <v>Golden Star Halal Market, Afghan Bakery &amp; Cafe</v>
      </c>
      <c r="J321" s="2" t="str">
        <f>TRIM(CLEAN(SUBSTITUTE(B321,CHAR(10)," ")))</f>
        <v>300 Terrace Dr #309</v>
      </c>
      <c r="K321" s="3" t="str">
        <f>PROPER(TRIM(C321))</f>
        <v>Richardson</v>
      </c>
      <c r="L321" t="str">
        <f>UPPER(LEFT(TRIM(D321),2))</f>
        <v>TX</v>
      </c>
      <c r="M321" t="str">
        <f>IF(OR(UPPER(E321)="UNITED STATES",UPPER(E321)="UNITED STATES OF AMERICA",UPPER(E321)="US",UPPER(E321)="USA"),"USA",E321)</f>
        <v>USA</v>
      </c>
      <c r="N321" t="str" cm="1">
        <f t="array" ref="N321">_xlfn.REGEXEXTRACT(F321,"\d{5}")</f>
        <v>75081</v>
      </c>
    </row>
    <row r="322" spans="1:14" ht="36" x14ac:dyDescent="0.15">
      <c r="A322" s="2" t="s">
        <v>466</v>
      </c>
      <c r="B322" s="2" t="s">
        <v>467</v>
      </c>
      <c r="C322" s="2" t="s">
        <v>207</v>
      </c>
      <c r="D322" s="2" t="s">
        <v>20</v>
      </c>
      <c r="E322" s="2" t="s">
        <v>10</v>
      </c>
      <c r="F322" s="2" t="s">
        <v>208</v>
      </c>
      <c r="G322" s="2"/>
      <c r="H322" s="2"/>
      <c r="I322" s="2" t="str">
        <f>TRIM(CLEAN(SUBSTITUTE(A322,CHAR(10)," ")))</f>
        <v>IndoPak Supermarket Richardson</v>
      </c>
      <c r="J322" s="2" t="str">
        <f>TRIM(CLEAN(SUBSTITUTE(B322,CHAR(10)," ")))</f>
        <v>323 E Polk St, v,</v>
      </c>
      <c r="K322" s="3" t="str">
        <f>PROPER(TRIM(C322))</f>
        <v>Richardson</v>
      </c>
      <c r="L322" t="str">
        <f>UPPER(LEFT(TRIM(D322),2))</f>
        <v>TX</v>
      </c>
      <c r="M322" t="str">
        <f>IF(OR(UPPER(E322)="UNITED STATES",UPPER(E322)="UNITED STATES OF AMERICA",UPPER(E322)="US",UPPER(E322)="USA"),"USA",E322)</f>
        <v>USA</v>
      </c>
      <c r="N322" t="str" cm="1">
        <f t="array" ref="N322">_xlfn.REGEXEXTRACT(F322,"\d{5}")</f>
        <v>75081</v>
      </c>
    </row>
    <row r="323" spans="1:14" ht="36" x14ac:dyDescent="0.15">
      <c r="A323" s="2" t="s">
        <v>226</v>
      </c>
      <c r="B323" s="2" t="s">
        <v>227</v>
      </c>
      <c r="C323" s="2" t="s">
        <v>207</v>
      </c>
      <c r="D323" s="2" t="s">
        <v>20</v>
      </c>
      <c r="E323" s="2" t="s">
        <v>10</v>
      </c>
      <c r="F323" s="2" t="s">
        <v>208</v>
      </c>
      <c r="G323" s="2"/>
      <c r="H323" s="2"/>
      <c r="I323" s="2" t="str">
        <f>TRIM(CLEAN(SUBSTITUTE(A323,CHAR(10)," ")))</f>
        <v>Albaghdady Bakery &amp; Café</v>
      </c>
      <c r="J323" s="2" t="str">
        <f>TRIM(CLEAN(SUBSTITUTE(B323,CHAR(10)," ")))</f>
        <v>327 N Greenville Ave</v>
      </c>
      <c r="K323" s="3" t="str">
        <f>PROPER(TRIM(C323))</f>
        <v>Richardson</v>
      </c>
      <c r="L323" t="str">
        <f>UPPER(LEFT(TRIM(D323),2))</f>
        <v>TX</v>
      </c>
      <c r="M323" t="str">
        <f>IF(OR(UPPER(E323)="UNITED STATES",UPPER(E323)="UNITED STATES OF AMERICA",UPPER(E323)="US",UPPER(E323)="USA"),"USA",E323)</f>
        <v>USA</v>
      </c>
      <c r="N323" t="str" cm="1">
        <f t="array" ref="N323">_xlfn.REGEXEXTRACT(F323,"\d{5}")</f>
        <v>75081</v>
      </c>
    </row>
    <row r="324" spans="1:14" ht="24" x14ac:dyDescent="0.15">
      <c r="A324" s="2" t="s">
        <v>581</v>
      </c>
      <c r="B324" s="2" t="s">
        <v>582</v>
      </c>
      <c r="C324" s="2" t="s">
        <v>525</v>
      </c>
      <c r="D324" s="2" t="s">
        <v>15</v>
      </c>
      <c r="E324" s="2" t="s">
        <v>10</v>
      </c>
      <c r="F324" s="2" t="s">
        <v>208</v>
      </c>
      <c r="G324" s="2"/>
      <c r="H324" s="2"/>
      <c r="I324" s="2" t="str">
        <f>TRIM(CLEAN(SUBSTITUTE(A324,CHAR(10)," ")))</f>
        <v>Salam usa llc</v>
      </c>
      <c r="J324" s="2" t="str">
        <f>TRIM(CLEAN(SUBSTITUTE(B324,CHAR(10)," ")))</f>
        <v>329 n greenville ave</v>
      </c>
      <c r="K324" s="3" t="str">
        <f>PROPER(TRIM(C324))</f>
        <v>Richardson</v>
      </c>
      <c r="L324" t="str">
        <f>UPPER(LEFT(TRIM(D324),2))</f>
        <v>TX</v>
      </c>
      <c r="M324" t="str">
        <f>IF(OR(UPPER(E324)="UNITED STATES",UPPER(E324)="UNITED STATES OF AMERICA",UPPER(E324)="US",UPPER(E324)="USA"),"USA",E324)</f>
        <v>USA</v>
      </c>
      <c r="N324" t="str" cm="1">
        <f t="array" ref="N324">_xlfn.REGEXEXTRACT(F324,"\d{5}")</f>
        <v>75081</v>
      </c>
    </row>
    <row r="325" spans="1:14" ht="24" x14ac:dyDescent="0.15">
      <c r="A325" s="2" t="s">
        <v>561</v>
      </c>
      <c r="B325" s="2" t="s">
        <v>562</v>
      </c>
      <c r="C325" s="2" t="s">
        <v>207</v>
      </c>
      <c r="D325" s="2" t="s">
        <v>20</v>
      </c>
      <c r="E325" s="2" t="s">
        <v>10</v>
      </c>
      <c r="F325" s="2" t="s">
        <v>208</v>
      </c>
      <c r="G325" s="2"/>
      <c r="H325" s="2"/>
      <c r="I325" s="2" t="str">
        <f>TRIM(CLEAN(SUBSTITUTE(A325,CHAR(10)," ")))</f>
        <v>Ramallah bakery</v>
      </c>
      <c r="J325" s="2" t="str">
        <f>TRIM(CLEAN(SUBSTITUTE(B325,CHAR(10)," ")))</f>
        <v>705 S Sherman St</v>
      </c>
      <c r="K325" s="3" t="str">
        <f>PROPER(TRIM(C325))</f>
        <v>Richardson</v>
      </c>
      <c r="L325" t="str">
        <f>UPPER(LEFT(TRIM(D325),2))</f>
        <v>TX</v>
      </c>
      <c r="M325" t="str">
        <f>IF(OR(UPPER(E325)="UNITED STATES",UPPER(E325)="UNITED STATES OF AMERICA",UPPER(E325)="US",UPPER(E325)="USA"),"USA",E325)</f>
        <v>USA</v>
      </c>
      <c r="N325" t="str" cm="1">
        <f t="array" ref="N325">_xlfn.REGEXEXTRACT(F325,"\d{5}")</f>
        <v>75081</v>
      </c>
    </row>
    <row r="326" spans="1:14" ht="36" x14ac:dyDescent="0.15">
      <c r="A326" s="2" t="s">
        <v>570</v>
      </c>
      <c r="B326" s="2" t="s">
        <v>571</v>
      </c>
      <c r="C326" s="2" t="s">
        <v>207</v>
      </c>
      <c r="D326" s="2" t="s">
        <v>20</v>
      </c>
      <c r="E326" s="2"/>
      <c r="F326" s="2" t="s">
        <v>208</v>
      </c>
      <c r="G326" s="2"/>
      <c r="H326" s="2"/>
      <c r="I326" s="2" t="str">
        <f>TRIM(CLEAN(SUBSTITUTE(A326,CHAR(10)," ")))</f>
        <v>Sababa Restaurant</v>
      </c>
      <c r="J326" s="2" t="str">
        <f>TRIM(CLEAN(SUBSTITUTE(B326,CHAR(10)," ")))</f>
        <v>743 Brick Row Ste 100</v>
      </c>
      <c r="K326" s="3" t="str">
        <f>PROPER(TRIM(C326))</f>
        <v>Richardson</v>
      </c>
      <c r="L326" t="str">
        <f>UPPER(LEFT(TRIM(D326),2))</f>
        <v>TX</v>
      </c>
      <c r="M326">
        <f>IF(OR(UPPER(E326)="UNITED STATES",UPPER(E326)="UNITED STATES OF AMERICA",UPPER(E326)="US",UPPER(E326)="USA"),"USA",E326)</f>
        <v>0</v>
      </c>
      <c r="N326" t="str" cm="1">
        <f t="array" ref="N326">_xlfn.REGEXEXTRACT(F326,"\d{5}")</f>
        <v>75081</v>
      </c>
    </row>
    <row r="327" spans="1:14" ht="36" x14ac:dyDescent="0.15">
      <c r="A327" s="2" t="s">
        <v>1328</v>
      </c>
      <c r="B327" s="2" t="s">
        <v>1329</v>
      </c>
      <c r="C327" s="2" t="s">
        <v>195</v>
      </c>
      <c r="D327" s="2" t="s">
        <v>20</v>
      </c>
      <c r="E327" s="2" t="s">
        <v>10</v>
      </c>
      <c r="F327" s="2"/>
      <c r="G327" s="2"/>
      <c r="H327" s="2"/>
      <c r="I327" s="2" t="str">
        <f>TRIM(CLEAN(SUBSTITUTE(A327,CHAR(10)," ")))</f>
        <v>SARAS MED. MARKET</v>
      </c>
      <c r="J327" s="2" t="str">
        <f>TRIM(CLEAN(SUBSTITUTE(B327,CHAR(10)," ")))</f>
        <v>750 S SHERMAN ST.</v>
      </c>
      <c r="K327" s="3" t="str">
        <f>PROPER(TRIM(C327))</f>
        <v>Richardson</v>
      </c>
      <c r="L327" t="str">
        <f>UPPER(LEFT(TRIM(D327),2))</f>
        <v>TX</v>
      </c>
      <c r="M327" t="str">
        <f>IF(OR(UPPER(E327)="UNITED STATES",UPPER(E327)="UNITED STATES OF AMERICA",UPPER(E327)="US",UPPER(E327)="USA"),"USA",E327)</f>
        <v>USA</v>
      </c>
      <c r="N327" t="e" cm="1" vm="1">
        <f t="array" ref="N327">_xlfn.REGEXEXTRACT(F327,"\d{5}")</f>
        <v>#N/A</v>
      </c>
    </row>
    <row r="328" spans="1:14" ht="24" x14ac:dyDescent="0.15">
      <c r="A328" s="2" t="s">
        <v>218</v>
      </c>
      <c r="B328" s="2" t="s">
        <v>219</v>
      </c>
      <c r="C328" s="2" t="s">
        <v>207</v>
      </c>
      <c r="D328" s="2" t="s">
        <v>20</v>
      </c>
      <c r="E328" s="2" t="s">
        <v>10</v>
      </c>
      <c r="F328" s="2" t="s">
        <v>208</v>
      </c>
      <c r="G328" s="2"/>
      <c r="H328" s="2"/>
      <c r="I328" s="2" t="str">
        <f>TRIM(CLEAN(SUBSTITUTE(A328,CHAR(10)," ")))</f>
        <v>Al Nimer Roastery</v>
      </c>
      <c r="J328" s="2" t="str">
        <f>TRIM(CLEAN(SUBSTITUTE(B328,CHAR(10)," ")))</f>
        <v>815 S Sherman St</v>
      </c>
      <c r="K328" s="3" t="str">
        <f>PROPER(TRIM(C328))</f>
        <v>Richardson</v>
      </c>
      <c r="L328" t="str">
        <f>UPPER(LEFT(TRIM(D328),2))</f>
        <v>TX</v>
      </c>
      <c r="M328" t="str">
        <f>IF(OR(UPPER(E328)="UNITED STATES",UPPER(E328)="UNITED STATES OF AMERICA",UPPER(E328)="US",UPPER(E328)="USA"),"USA",E328)</f>
        <v>USA</v>
      </c>
      <c r="N328" t="str" cm="1">
        <f t="array" ref="N328">_xlfn.REGEXEXTRACT(F328,"\d{5}")</f>
        <v>75081</v>
      </c>
    </row>
    <row r="329" spans="1:14" ht="48" x14ac:dyDescent="0.15">
      <c r="A329" s="2" t="s">
        <v>482</v>
      </c>
      <c r="B329" s="2" t="s">
        <v>483</v>
      </c>
      <c r="C329" s="2" t="s">
        <v>207</v>
      </c>
      <c r="D329" s="2" t="s">
        <v>20</v>
      </c>
      <c r="E329" s="2" t="s">
        <v>152</v>
      </c>
      <c r="F329" s="2" t="s">
        <v>208</v>
      </c>
      <c r="G329" s="2"/>
      <c r="H329" s="2"/>
      <c r="I329" s="2" t="str">
        <f>TRIM(CLEAN(SUBSTITUTE(A329,CHAR(10)," ")))</f>
        <v>Jasmine Market &amp; Cafe</v>
      </c>
      <c r="J329" s="2" t="str">
        <f>TRIM(CLEAN(SUBSTITUTE(B329,CHAR(10)," ")))</f>
        <v>820 S Sherman St, Richardson, TX 75081</v>
      </c>
      <c r="K329" s="3" t="str">
        <f>PROPER(TRIM(C329))</f>
        <v>Richardson</v>
      </c>
      <c r="L329" t="str">
        <f>UPPER(LEFT(TRIM(D329),2))</f>
        <v>TX</v>
      </c>
      <c r="M329" t="str">
        <f>IF(OR(UPPER(E329)="UNITED STATES",UPPER(E329)="UNITED STATES OF AMERICA",UPPER(E329)="US",UPPER(E329)="USA"),"USA",E329)</f>
        <v>USA</v>
      </c>
      <c r="N329" t="str" cm="1">
        <f t="array" ref="N329">_xlfn.REGEXEXTRACT(F329,"\d{5}")</f>
        <v>75081</v>
      </c>
    </row>
    <row r="330" spans="1:14" ht="36" x14ac:dyDescent="0.15">
      <c r="A330" s="2" t="s">
        <v>280</v>
      </c>
      <c r="B330" s="2" t="s">
        <v>281</v>
      </c>
      <c r="C330" s="2" t="s">
        <v>207</v>
      </c>
      <c r="D330" s="2" t="s">
        <v>20</v>
      </c>
      <c r="E330" s="2" t="s">
        <v>10</v>
      </c>
      <c r="F330" s="2" t="s">
        <v>208</v>
      </c>
      <c r="G330" s="2"/>
      <c r="H330" s="2"/>
      <c r="I330" s="2" t="str">
        <f>TRIM(CLEAN(SUBSTITUTE(A330,CHAR(10)," ")))</f>
        <v>Bilad Restaurant and Bakery</v>
      </c>
      <c r="J330" s="2" t="str">
        <f>TRIM(CLEAN(SUBSTITUTE(B330,CHAR(10)," ")))</f>
        <v>850 S Greenville Ave</v>
      </c>
      <c r="K330" s="3" t="str">
        <f>PROPER(TRIM(C330))</f>
        <v>Richardson</v>
      </c>
      <c r="L330" t="str">
        <f>UPPER(LEFT(TRIM(D330),2))</f>
        <v>TX</v>
      </c>
      <c r="M330" t="str">
        <f>IF(OR(UPPER(E330)="UNITED STATES",UPPER(E330)="UNITED STATES OF AMERICA",UPPER(E330)="US",UPPER(E330)="USA"),"USA",E330)</f>
        <v>USA</v>
      </c>
      <c r="N330" t="str" cm="1">
        <f t="array" ref="N330">_xlfn.REGEXEXTRACT(F330,"\d{5}")</f>
        <v>75081</v>
      </c>
    </row>
    <row r="331" spans="1:14" ht="36" x14ac:dyDescent="0.15">
      <c r="A331" s="2" t="s">
        <v>278</v>
      </c>
      <c r="B331" s="2" t="s">
        <v>279</v>
      </c>
      <c r="C331" s="2" t="s">
        <v>207</v>
      </c>
      <c r="D331" s="2" t="s">
        <v>20</v>
      </c>
      <c r="E331" s="2" t="s">
        <v>10</v>
      </c>
      <c r="F331" s="2" t="s">
        <v>208</v>
      </c>
      <c r="G331" s="2"/>
      <c r="H331" s="2"/>
      <c r="I331" s="2" t="str">
        <f>TRIM(CLEAN(SUBSTITUTE(A331,CHAR(10)," ")))</f>
        <v>BIGDASH ICE CREAM PASTRIES</v>
      </c>
      <c r="J331" s="2" t="str">
        <f>TRIM(CLEAN(SUBSTITUTE(B331,CHAR(10)," ")))</f>
        <v>888 S Greenville Ave Suite 140</v>
      </c>
      <c r="K331" s="3" t="str">
        <f>PROPER(TRIM(C331))</f>
        <v>Richardson</v>
      </c>
      <c r="L331" t="str">
        <f>UPPER(LEFT(TRIM(D331),2))</f>
        <v>TX</v>
      </c>
      <c r="M331" t="str">
        <f>IF(OR(UPPER(E331)="UNITED STATES",UPPER(E331)="UNITED STATES OF AMERICA",UPPER(E331)="US",UPPER(E331)="USA"),"USA",E331)</f>
        <v>USA</v>
      </c>
      <c r="N331" t="str" cm="1">
        <f t="array" ref="N331">_xlfn.REGEXEXTRACT(F331,"\d{5}")</f>
        <v>75081</v>
      </c>
    </row>
    <row r="332" spans="1:14" ht="36" x14ac:dyDescent="0.15">
      <c r="A332" s="2" t="s">
        <v>220</v>
      </c>
      <c r="B332" s="2" t="s">
        <v>221</v>
      </c>
      <c r="C332" s="2" t="s">
        <v>207</v>
      </c>
      <c r="D332" s="2" t="s">
        <v>20</v>
      </c>
      <c r="E332" s="2" t="s">
        <v>10</v>
      </c>
      <c r="F332" s="2" t="s">
        <v>208</v>
      </c>
      <c r="G332" s="2"/>
      <c r="H332" s="2"/>
      <c r="I332" s="2" t="str">
        <f>TRIM(CLEAN(SUBSTITUTE(A332,CHAR(10)," ")))</f>
        <v>ALADDIN CAFE</v>
      </c>
      <c r="J332" s="2" t="str">
        <f>TRIM(CLEAN(SUBSTITUTE(B332,CHAR(10)," ")))</f>
        <v>888 S Greenville Ave Suite 200</v>
      </c>
      <c r="K332" s="3" t="str">
        <f>PROPER(TRIM(C332))</f>
        <v>Richardson</v>
      </c>
      <c r="L332" t="str">
        <f>UPPER(LEFT(TRIM(D332),2))</f>
        <v>TX</v>
      </c>
      <c r="M332" t="str">
        <f>IF(OR(UPPER(E332)="UNITED STATES",UPPER(E332)="UNITED STATES OF AMERICA",UPPER(E332)="US",UPPER(E332)="USA"),"USA",E332)</f>
        <v>USA</v>
      </c>
      <c r="N332" t="str" cm="1">
        <f t="array" ref="N332">_xlfn.REGEXEXTRACT(F332,"\d{5}")</f>
        <v>75081</v>
      </c>
    </row>
    <row r="333" spans="1:14" ht="36" x14ac:dyDescent="0.15">
      <c r="A333" s="2" t="s">
        <v>258</v>
      </c>
      <c r="B333" s="2" t="s">
        <v>259</v>
      </c>
      <c r="C333" s="2" t="s">
        <v>207</v>
      </c>
      <c r="D333" s="2" t="s">
        <v>20</v>
      </c>
      <c r="E333" s="2" t="s">
        <v>10</v>
      </c>
      <c r="F333" s="2" t="s">
        <v>208</v>
      </c>
      <c r="G333" s="2"/>
      <c r="H333" s="2"/>
      <c r="I333" s="2" t="str">
        <f>TRIM(CLEAN(SUBSTITUTE(A333,CHAR(10)," ")))</f>
        <v>Arwa Yemeni Coffee</v>
      </c>
      <c r="J333" s="2" t="str">
        <f>TRIM(CLEAN(SUBSTITUTE(B333,CHAR(10)," ")))</f>
        <v>888 S Greenville Ave Suite 223</v>
      </c>
      <c r="K333" s="3" t="str">
        <f>PROPER(TRIM(C333))</f>
        <v>Richardson</v>
      </c>
      <c r="L333" t="str">
        <f>UPPER(LEFT(TRIM(D333),2))</f>
        <v>TX</v>
      </c>
      <c r="M333" t="str">
        <f>IF(OR(UPPER(E333)="UNITED STATES",UPPER(E333)="UNITED STATES OF AMERICA",UPPER(E333)="US",UPPER(E333)="USA"),"USA",E333)</f>
        <v>USA</v>
      </c>
      <c r="N333" t="str" cm="1">
        <f t="array" ref="N333">_xlfn.REGEXEXTRACT(F333,"\d{5}")</f>
        <v>75081</v>
      </c>
    </row>
    <row r="334" spans="1:14" ht="48" x14ac:dyDescent="0.15">
      <c r="A334" s="2" t="s">
        <v>453</v>
      </c>
      <c r="B334" s="2" t="s">
        <v>454</v>
      </c>
      <c r="C334" s="2" t="s">
        <v>207</v>
      </c>
      <c r="D334" s="2"/>
      <c r="E334" s="2" t="s">
        <v>10</v>
      </c>
      <c r="F334" s="2"/>
      <c r="G334" s="2"/>
      <c r="H334" s="2"/>
      <c r="I334" s="2" t="str">
        <f>TRIM(CLEAN(SUBSTITUTE(A334,CHAR(10)," ")))</f>
        <v>Huseyin Gencer KRM TRADE CCOP.</v>
      </c>
      <c r="J334" s="2" t="str">
        <f>TRIM(CLEAN(SUBSTITUTE(B334,CHAR(10)," ")))</f>
        <v>903 N Bowser Rd, #ste 250</v>
      </c>
      <c r="K334" s="3" t="str">
        <f>PROPER(TRIM(C334))</f>
        <v>Richardson</v>
      </c>
      <c r="L334" t="str">
        <f>UPPER(LEFT(TRIM(D334),2))</f>
        <v/>
      </c>
      <c r="M334" t="str">
        <f>IF(OR(UPPER(E334)="UNITED STATES",UPPER(E334)="UNITED STATES OF AMERICA",UPPER(E334)="US",UPPER(E334)="USA"),"USA",E334)</f>
        <v>USA</v>
      </c>
      <c r="N334" t="e" cm="1" vm="1">
        <f t="array" ref="N334">_xlfn.REGEXEXTRACT(F334,"\d{5}")</f>
        <v>#N/A</v>
      </c>
    </row>
    <row r="335" spans="1:14" ht="24" x14ac:dyDescent="0.15">
      <c r="A335" s="2" t="s">
        <v>244</v>
      </c>
      <c r="B335" s="2" t="s">
        <v>245</v>
      </c>
      <c r="C335" s="2" t="s">
        <v>207</v>
      </c>
      <c r="D335" s="2" t="s">
        <v>20</v>
      </c>
      <c r="E335" s="2" t="s">
        <v>10</v>
      </c>
      <c r="F335" s="2" t="s">
        <v>208</v>
      </c>
      <c r="G335" s="2"/>
      <c r="H335" s="2"/>
      <c r="I335" s="2" t="str">
        <f>TRIM(CLEAN(SUBSTITUTE(A335,CHAR(10)," ")))</f>
        <v>Another Time &amp; Place Grille</v>
      </c>
      <c r="J335" s="2" t="str">
        <f>TRIM(CLEAN(SUBSTITUTE(B335,CHAR(10)," ")))</f>
        <v>925 Abrams Rd</v>
      </c>
      <c r="K335" s="3" t="str">
        <f>PROPER(TRIM(C335))</f>
        <v>Richardson</v>
      </c>
      <c r="L335" t="str">
        <f>UPPER(LEFT(TRIM(D335),2))</f>
        <v>TX</v>
      </c>
      <c r="M335" t="str">
        <f>IF(OR(UPPER(E335)="UNITED STATES",UPPER(E335)="UNITED STATES OF AMERICA",UPPER(E335)="US",UPPER(E335)="USA"),"USA",E335)</f>
        <v>USA</v>
      </c>
      <c r="N335" t="str" cm="1">
        <f t="array" ref="N335">_xlfn.REGEXEXTRACT(F335,"\d{5}")</f>
        <v>75081</v>
      </c>
    </row>
    <row r="336" spans="1:14" ht="48" x14ac:dyDescent="0.15">
      <c r="A336" s="2" t="s">
        <v>193</v>
      </c>
      <c r="B336" s="2" t="s">
        <v>194</v>
      </c>
      <c r="C336" s="2" t="s">
        <v>195</v>
      </c>
      <c r="D336" s="2" t="s">
        <v>20</v>
      </c>
      <c r="E336" s="2" t="s">
        <v>10</v>
      </c>
      <c r="F336" s="2" t="s">
        <v>196</v>
      </c>
      <c r="G336" s="2"/>
      <c r="H336" s="2"/>
      <c r="I336" s="2" t="str">
        <f>TRIM(CLEAN(SUBSTITUTE(A336,CHAR(10)," ")))</f>
        <v>DESI BROTHERS</v>
      </c>
      <c r="J336" s="2" t="str">
        <f>TRIM(CLEAN(SUBSTITUTE(B336,CHAR(10)," ")))</f>
        <v>CENTRAL EXPRESSWAY SUITE 28C</v>
      </c>
      <c r="K336" s="3" t="str">
        <f>PROPER(TRIM(C336))</f>
        <v>Richardson</v>
      </c>
      <c r="L336" t="str">
        <f>UPPER(LEFT(TRIM(D336),2))</f>
        <v>TX</v>
      </c>
      <c r="M336" t="str">
        <f>IF(OR(UPPER(E336)="UNITED STATES",UPPER(E336)="UNITED STATES OF AMERICA",UPPER(E336)="US",UPPER(E336)="USA"),"USA",E336)</f>
        <v>USA</v>
      </c>
      <c r="N336" t="str" cm="1">
        <f t="array" ref="N336">_xlfn.REGEXEXTRACT(F336,"\d{5}")</f>
        <v>75080</v>
      </c>
    </row>
    <row r="337" spans="1:14" ht="36" x14ac:dyDescent="0.15">
      <c r="A337" s="2"/>
      <c r="B337" s="2" t="s">
        <v>677</v>
      </c>
      <c r="C337" s="2" t="s">
        <v>678</v>
      </c>
      <c r="D337" s="2" t="s">
        <v>20</v>
      </c>
      <c r="E337" s="2" t="s">
        <v>10</v>
      </c>
      <c r="F337" s="2" t="s">
        <v>679</v>
      </c>
      <c r="G337" s="2"/>
      <c r="H337" s="2"/>
      <c r="I337" s="2" t="str">
        <f>TRIM(CLEAN(SUBSTITUTE(A337,CHAR(10)," ")))</f>
        <v/>
      </c>
      <c r="J337" s="2" t="str">
        <f>TRIM(CLEAN(SUBSTITUTE(B337,CHAR(10)," ")))</f>
        <v>11206 ROSSIE MOOR LN</v>
      </c>
      <c r="K337" s="3" t="str">
        <f>PROPER(TRIM(C337))</f>
        <v>Richmond</v>
      </c>
      <c r="L337" t="str">
        <f>UPPER(LEFT(TRIM(D337),2))</f>
        <v>TX</v>
      </c>
      <c r="M337" t="str">
        <f>IF(OR(UPPER(E337)="UNITED STATES",UPPER(E337)="UNITED STATES OF AMERICA",UPPER(E337)="US",UPPER(E337)="USA"),"USA",E337)</f>
        <v>USA</v>
      </c>
      <c r="N337" t="str" cm="1">
        <f t="array" ref="N337">_xlfn.REGEXEXTRACT(F337,"\d{5}")</f>
        <v>77407</v>
      </c>
    </row>
    <row r="338" spans="1:14" ht="48" x14ac:dyDescent="0.15">
      <c r="A338" s="2" t="s">
        <v>729</v>
      </c>
      <c r="B338" s="2" t="s">
        <v>730</v>
      </c>
      <c r="C338" s="2" t="s">
        <v>678</v>
      </c>
      <c r="D338" s="2" t="s">
        <v>20</v>
      </c>
      <c r="E338" s="2" t="s">
        <v>10</v>
      </c>
      <c r="F338" s="2" t="s">
        <v>679</v>
      </c>
      <c r="G338" s="2"/>
      <c r="H338" s="2"/>
      <c r="I338" s="2" t="str">
        <f>TRIM(CLEAN(SUBSTITUTE(A338,CHAR(10)," ")))</f>
        <v>AHMET SAKINAN</v>
      </c>
      <c r="J338" s="2" t="str">
        <f>TRIM(CLEAN(SUBSTITUTE(B338,CHAR(10)," ")))</f>
        <v>11426 Robillard way RICHMOND 1142</v>
      </c>
      <c r="K338" s="3" t="str">
        <f>PROPER(TRIM(C338))</f>
        <v>Richmond</v>
      </c>
      <c r="L338" t="str">
        <f>UPPER(LEFT(TRIM(D338),2))</f>
        <v>TX</v>
      </c>
      <c r="M338" t="str">
        <f>IF(OR(UPPER(E338)="UNITED STATES",UPPER(E338)="UNITED STATES OF AMERICA",UPPER(E338)="US",UPPER(E338)="USA"),"USA",E338)</f>
        <v>USA</v>
      </c>
      <c r="N338" t="str" cm="1">
        <f t="array" ref="N338">_xlfn.REGEXEXTRACT(F338,"\d{5}")</f>
        <v>77407</v>
      </c>
    </row>
    <row r="339" spans="1:14" ht="24" x14ac:dyDescent="0.15">
      <c r="A339" s="2" t="s">
        <v>1388</v>
      </c>
      <c r="B339" s="2" t="s">
        <v>1389</v>
      </c>
      <c r="C339" s="2" t="s">
        <v>678</v>
      </c>
      <c r="D339" s="2" t="s">
        <v>20</v>
      </c>
      <c r="E339" s="2" t="s">
        <v>10</v>
      </c>
      <c r="F339" s="2" t="s">
        <v>679</v>
      </c>
      <c r="G339" s="2"/>
      <c r="H339" s="2"/>
      <c r="I339" s="2" t="str">
        <f>TRIM(CLEAN(SUBSTITUTE(A339,CHAR(10)," ")))</f>
        <v>Wholesales on wheels llc</v>
      </c>
      <c r="J339" s="2" t="str">
        <f>TRIM(CLEAN(SUBSTITUTE(B339,CHAR(10)," ")))</f>
        <v>12323 Grossart LN</v>
      </c>
      <c r="K339" s="3" t="str">
        <f>PROPER(TRIM(C339))</f>
        <v>Richmond</v>
      </c>
      <c r="L339" t="str">
        <f>UPPER(LEFT(TRIM(D339),2))</f>
        <v>TX</v>
      </c>
      <c r="M339" t="str">
        <f>IF(OR(UPPER(E339)="UNITED STATES",UPPER(E339)="UNITED STATES OF AMERICA",UPPER(E339)="US",UPPER(E339)="USA"),"USA",E339)</f>
        <v>USA</v>
      </c>
      <c r="N339" t="str" cm="1">
        <f t="array" ref="N339">_xlfn.REGEXEXTRACT(F339,"\d{5}")</f>
        <v>77407</v>
      </c>
    </row>
    <row r="340" spans="1:14" ht="24" x14ac:dyDescent="0.15">
      <c r="A340" s="2" t="s">
        <v>738</v>
      </c>
      <c r="B340" s="2" t="s">
        <v>739</v>
      </c>
      <c r="C340" s="2" t="s">
        <v>728</v>
      </c>
      <c r="D340" s="2" t="s">
        <v>20</v>
      </c>
      <c r="E340" s="2"/>
      <c r="F340" s="2" t="s">
        <v>679</v>
      </c>
      <c r="G340" s="2"/>
      <c r="H340" s="2"/>
      <c r="I340" s="2" t="str">
        <f>TRIM(CLEAN(SUBSTITUTE(A340,CHAR(10)," ")))</f>
        <v>ALI YILMAZ</v>
      </c>
      <c r="J340" s="2" t="str">
        <f>TRIM(CLEAN(SUBSTITUTE(B340,CHAR(10)," ")))</f>
        <v>18234 Port Dundas Dr.</v>
      </c>
      <c r="K340" s="3" t="str">
        <f>PROPER(TRIM(C340))</f>
        <v>Richmond</v>
      </c>
      <c r="L340" t="str">
        <f>UPPER(LEFT(TRIM(D340),2))</f>
        <v>TX</v>
      </c>
      <c r="M340">
        <f>IF(OR(UPPER(E340)="UNITED STATES",UPPER(E340)="UNITED STATES OF AMERICA",UPPER(E340)="US",UPPER(E340)="USA"),"USA",E340)</f>
        <v>0</v>
      </c>
      <c r="N340" t="str" cm="1">
        <f t="array" ref="N340">_xlfn.REGEXEXTRACT(F340,"\d{5}")</f>
        <v>77407</v>
      </c>
    </row>
    <row r="341" spans="1:14" ht="36" x14ac:dyDescent="0.15">
      <c r="A341" s="2" t="s">
        <v>944</v>
      </c>
      <c r="B341" s="2" t="s">
        <v>945</v>
      </c>
      <c r="C341" s="2" t="s">
        <v>728</v>
      </c>
      <c r="D341" s="2" t="s">
        <v>20</v>
      </c>
      <c r="E341" s="2" t="s">
        <v>95</v>
      </c>
      <c r="F341" s="2" t="s">
        <v>946</v>
      </c>
      <c r="G341" s="2"/>
      <c r="H341" s="2"/>
      <c r="I341" s="2"/>
      <c r="J341" s="2"/>
      <c r="K341" s="3"/>
    </row>
    <row r="342" spans="1:14" ht="48" x14ac:dyDescent="0.15">
      <c r="A342" s="2" t="s">
        <v>830</v>
      </c>
      <c r="B342" s="2" t="s">
        <v>831</v>
      </c>
      <c r="C342" s="2" t="s">
        <v>678</v>
      </c>
      <c r="D342" s="2" t="s">
        <v>20</v>
      </c>
      <c r="E342" s="2" t="s">
        <v>10</v>
      </c>
      <c r="F342" s="2" t="s">
        <v>679</v>
      </c>
      <c r="G342" s="2"/>
      <c r="H342" s="2"/>
      <c r="I342" s="2" t="str">
        <f>TRIM(CLEAN(SUBSTITUTE(A342,CHAR(10)," ")))</f>
        <v>Medina Market and Halal Meat Market</v>
      </c>
      <c r="J342" s="2" t="str">
        <f>TRIM(CLEAN(SUBSTITUTE(B342,CHAR(10)," ")))</f>
        <v>7120 FM 1464</v>
      </c>
      <c r="K342" s="3" t="str">
        <f>PROPER(TRIM(C342))</f>
        <v>Richmond</v>
      </c>
      <c r="L342" t="str">
        <f>UPPER(LEFT(TRIM(D342),2))</f>
        <v>TX</v>
      </c>
      <c r="M342" t="str">
        <f>IF(OR(UPPER(E342)="UNITED STATES",UPPER(E342)="UNITED STATES OF AMERICA",UPPER(E342)="US",UPPER(E342)="USA"),"USA",E342)</f>
        <v>USA</v>
      </c>
      <c r="N342" t="str" cm="1">
        <f t="array" ref="N342">_xlfn.REGEXEXTRACT(F342,"\d{5}")</f>
        <v>77407</v>
      </c>
    </row>
    <row r="343" spans="1:14" ht="60" x14ac:dyDescent="0.15">
      <c r="A343" s="2" t="s">
        <v>1070</v>
      </c>
      <c r="B343" s="2" t="s">
        <v>1071</v>
      </c>
      <c r="C343" s="2" t="s">
        <v>728</v>
      </c>
      <c r="D343" s="2" t="s">
        <v>20</v>
      </c>
      <c r="E343" s="2" t="s">
        <v>10</v>
      </c>
      <c r="F343" s="2" t="s">
        <v>679</v>
      </c>
      <c r="G343" s="2"/>
      <c r="H343" s="2"/>
      <c r="I343" s="2" t="str">
        <f>TRIM(CLEAN(SUBSTITUTE(A343,CHAR(10)," ")))</f>
        <v>The meat grinder (NOUR HALAL MEAT)</v>
      </c>
      <c r="J343" s="2" t="str">
        <f>TRIM(CLEAN(SUBSTITUTE(B343,CHAR(10)," ")))</f>
        <v>8002 FM 1464 Suite 300</v>
      </c>
      <c r="K343" s="3" t="str">
        <f>PROPER(TRIM(C343))</f>
        <v>Richmond</v>
      </c>
      <c r="L343" t="str">
        <f>UPPER(LEFT(TRIM(D343),2))</f>
        <v>TX</v>
      </c>
      <c r="M343" t="str">
        <f>IF(OR(UPPER(E343)="UNITED STATES",UPPER(E343)="UNITED STATES OF AMERICA",UPPER(E343)="US",UPPER(E343)="USA"),"USA",E343)</f>
        <v>USA</v>
      </c>
      <c r="N343" t="str" cm="1">
        <f t="array" ref="N343">_xlfn.REGEXEXTRACT(F343,"\d{5}")</f>
        <v>77407</v>
      </c>
    </row>
    <row r="344" spans="1:14" ht="36" x14ac:dyDescent="0.15">
      <c r="A344" s="2" t="s">
        <v>1041</v>
      </c>
      <c r="B344" s="2" t="s">
        <v>1042</v>
      </c>
      <c r="C344" s="2" t="s">
        <v>728</v>
      </c>
      <c r="D344" s="2" t="s">
        <v>102</v>
      </c>
      <c r="E344" s="2" t="s">
        <v>10</v>
      </c>
      <c r="F344" s="2" t="s">
        <v>679</v>
      </c>
      <c r="G344" s="2"/>
      <c r="H344" s="2"/>
      <c r="I344" s="2" t="str">
        <f>TRIM(CLEAN(SUBSTITUTE(A344,CHAR(10)," ")))</f>
        <v>Qamaria Cafe Richmond</v>
      </c>
      <c r="J344" s="2" t="str">
        <f>TRIM(CLEAN(SUBSTITUTE(B344,CHAR(10)," ")))</f>
        <v>Waterview Town Center Drive</v>
      </c>
      <c r="K344" s="3" t="str">
        <f>PROPER(TRIM(C344))</f>
        <v>Richmond</v>
      </c>
      <c r="L344" t="str">
        <f>UPPER(LEFT(TRIM(D344),2))</f>
        <v>TE</v>
      </c>
      <c r="M344" t="str">
        <f>IF(OR(UPPER(E344)="UNITED STATES",UPPER(E344)="UNITED STATES OF AMERICA",UPPER(E344)="US",UPPER(E344)="USA"),"USA",E344)</f>
        <v>USA</v>
      </c>
      <c r="N344" t="str" cm="1">
        <f t="array" ref="N344">_xlfn.REGEXEXTRACT(F344,"\d{5}")</f>
        <v>77407</v>
      </c>
    </row>
    <row r="345" spans="1:14" ht="36" x14ac:dyDescent="0.15">
      <c r="A345" s="2" t="s">
        <v>1077</v>
      </c>
      <c r="B345" s="2" t="s">
        <v>1078</v>
      </c>
      <c r="C345" s="2" t="s">
        <v>1079</v>
      </c>
      <c r="D345" s="2" t="s">
        <v>102</v>
      </c>
      <c r="E345" s="2" t="s">
        <v>10</v>
      </c>
      <c r="F345" s="2" t="s">
        <v>1080</v>
      </c>
      <c r="G345" s="2"/>
      <c r="H345" s="2"/>
      <c r="I345" s="2"/>
      <c r="J345" s="2"/>
      <c r="K345" s="3"/>
    </row>
    <row r="346" spans="1:14" ht="36" x14ac:dyDescent="0.15">
      <c r="A346" s="2" t="s">
        <v>871</v>
      </c>
      <c r="B346" s="2" t="s">
        <v>872</v>
      </c>
      <c r="C346" s="2" t="s">
        <v>873</v>
      </c>
      <c r="D346" s="2" t="s">
        <v>20</v>
      </c>
      <c r="E346" s="2" t="s">
        <v>10</v>
      </c>
      <c r="F346" s="2" t="s">
        <v>874</v>
      </c>
      <c r="G346" s="2"/>
      <c r="H346" s="2"/>
      <c r="I346" s="2" t="str">
        <f>TRIM(CLEAN(SUBSTITUTE(A346,CHAR(10)," ")))</f>
        <v>Waterstone Ranch Turkish Farm</v>
      </c>
      <c r="J346" s="2" t="str">
        <f>TRIM(CLEAN(SUBSTITUTE(B346,CHAR(10)," ")))</f>
        <v>14614 County Rd 820</v>
      </c>
      <c r="K346" s="3" t="str">
        <f>PROPER(TRIM(C346))</f>
        <v>Rosharon</v>
      </c>
      <c r="L346" s="8" t="s">
        <v>20</v>
      </c>
      <c r="M346" t="str">
        <f>IF(OR(UPPER(E346)="UNITED STATES",UPPER(E346)="UNITED STATES OF AMERICA",UPPER(E346)="US",UPPER(E346)="USA"),"USA",E346)</f>
        <v>USA</v>
      </c>
      <c r="N346" t="str" cm="1">
        <f t="array" ref="N346">_xlfn.REGEXEXTRACT(F346,"\d{5}")</f>
        <v>77583</v>
      </c>
    </row>
    <row r="347" spans="1:14" ht="36" x14ac:dyDescent="0.15">
      <c r="A347" s="2" t="s">
        <v>68</v>
      </c>
      <c r="B347" s="2" t="s">
        <v>69</v>
      </c>
      <c r="C347" s="2" t="s">
        <v>66</v>
      </c>
      <c r="D347" s="2" t="s">
        <v>20</v>
      </c>
      <c r="E347" s="2"/>
      <c r="F347" s="2" t="s">
        <v>70</v>
      </c>
      <c r="G347" s="2"/>
      <c r="H347" s="2"/>
      <c r="I347" s="2" t="str">
        <f>TRIM(CLEAN(SUBSTITUTE(A347,CHAR(10)," ")))</f>
        <v>Chiyaya Bakery LLC</v>
      </c>
      <c r="J347" s="2" t="str">
        <f>TRIM(CLEAN(SUBSTITUTE(B347,CHAR(10)," ")))</f>
        <v>1301 N A W Grimes Blvd Apt:824</v>
      </c>
      <c r="K347" s="3" t="str">
        <f>PROPER(TRIM(C347))</f>
        <v>Round Rock</v>
      </c>
      <c r="L347" s="8" t="s">
        <v>20</v>
      </c>
      <c r="M347">
        <f>IF(OR(UPPER(E347)="UNITED STATES",UPPER(E347)="UNITED STATES OF AMERICA",UPPER(E347)="US",UPPER(E347)="USA"),"USA",E347)</f>
        <v>0</v>
      </c>
      <c r="N347" t="str" cm="1">
        <f t="array" ref="N347">_xlfn.REGEXEXTRACT(F347,"\d{5}")</f>
        <v>78665</v>
      </c>
    </row>
    <row r="348" spans="1:14" ht="36" x14ac:dyDescent="0.15">
      <c r="A348" s="2" t="s">
        <v>1110</v>
      </c>
      <c r="B348" s="2" t="s">
        <v>1111</v>
      </c>
      <c r="C348" s="2" t="s">
        <v>66</v>
      </c>
      <c r="D348" s="2" t="s">
        <v>20</v>
      </c>
      <c r="E348" s="2" t="s">
        <v>1112</v>
      </c>
      <c r="F348" s="2" t="s">
        <v>67</v>
      </c>
      <c r="G348" s="2"/>
      <c r="H348" s="2"/>
      <c r="I348" s="2" t="str">
        <f>TRIM(CLEAN(SUBSTITUTE(A348,CHAR(10)," ")))</f>
        <v>APIL SERVICES LLC</v>
      </c>
      <c r="J348" s="2" t="str">
        <f>TRIM(CLEAN(SUBSTITUTE(B348,CHAR(10)," ")))</f>
        <v>1700 Bryant Dr Ste 102</v>
      </c>
      <c r="K348" s="3" t="str">
        <f>PROPER(TRIM(C348))</f>
        <v>Round Rock</v>
      </c>
      <c r="L348" t="str">
        <f>UPPER(LEFT(TRIM(D348),2))</f>
        <v>TX</v>
      </c>
      <c r="M348" t="str">
        <f>IF(OR(UPPER(E348)="UNITED STATES",UPPER(E348)="UNITED STATES OF AMERICA",UPPER(E348)="US",UPPER(E348)="USA"),"USA",E348)</f>
        <v>USA</v>
      </c>
      <c r="N348" t="str" cm="1">
        <f t="array" ref="N348">_xlfn.REGEXEXTRACT(F348,"\d{5}")</f>
        <v>78664</v>
      </c>
    </row>
    <row r="349" spans="1:14" ht="24" x14ac:dyDescent="0.15">
      <c r="A349" s="2" t="s">
        <v>71</v>
      </c>
      <c r="B349" s="2" t="s">
        <v>72</v>
      </c>
      <c r="C349" s="2" t="s">
        <v>66</v>
      </c>
      <c r="D349" s="2" t="s">
        <v>20</v>
      </c>
      <c r="E349" s="2" t="s">
        <v>10</v>
      </c>
      <c r="F349" s="2" t="s">
        <v>67</v>
      </c>
      <c r="G349" s="2"/>
      <c r="H349" s="2"/>
      <c r="I349" s="2" t="str">
        <f>TRIM(CLEAN(SUBSTITUTE(A349,CHAR(10)," ")))</f>
        <v>Istanbul Market Atx</v>
      </c>
      <c r="J349" s="2" t="str">
        <f>TRIM(CLEAN(SUBSTITUTE(B349,CHAR(10)," ")))</f>
        <v>1700 Bryant Dr Suite.102</v>
      </c>
      <c r="K349" s="3" t="str">
        <f>PROPER(TRIM(C349))</f>
        <v>Round Rock</v>
      </c>
      <c r="L349" t="str">
        <f>UPPER(LEFT(TRIM(D349),2))</f>
        <v>TX</v>
      </c>
      <c r="M349" t="str">
        <f>IF(OR(UPPER(E349)="UNITED STATES",UPPER(E349)="UNITED STATES OF AMERICA",UPPER(E349)="US",UPPER(E349)="USA"),"USA",E349)</f>
        <v>USA</v>
      </c>
      <c r="N349" t="str" cm="1">
        <f t="array" ref="N349">_xlfn.REGEXEXTRACT(F349,"\d{5}")</f>
        <v>78664</v>
      </c>
    </row>
    <row r="350" spans="1:14" ht="36" x14ac:dyDescent="0.15">
      <c r="A350" s="2" t="s">
        <v>64</v>
      </c>
      <c r="B350" s="2" t="s">
        <v>65</v>
      </c>
      <c r="C350" s="2" t="s">
        <v>66</v>
      </c>
      <c r="D350" s="2" t="s">
        <v>20</v>
      </c>
      <c r="E350" s="2" t="s">
        <v>10</v>
      </c>
      <c r="F350" s="2" t="s">
        <v>67</v>
      </c>
      <c r="G350" s="2"/>
      <c r="H350" s="2"/>
      <c r="I350" s="2" t="str">
        <f>TRIM(CLEAN(SUBSTITUTE(A350,CHAR(10)," ")))</f>
        <v>Austin Skyline Foundation</v>
      </c>
      <c r="J350" s="2" t="str">
        <f>TRIM(CLEAN(SUBSTITUTE(B350,CHAR(10)," ")))</f>
        <v>2650 Gattis School Rd Ste 700</v>
      </c>
      <c r="K350" s="3" t="str">
        <f>PROPER(TRIM(C350))</f>
        <v>Round Rock</v>
      </c>
      <c r="L350" t="str">
        <f>UPPER(LEFT(TRIM(D350),2))</f>
        <v>TX</v>
      </c>
      <c r="M350" t="str">
        <f>IF(OR(UPPER(E350)="UNITED STATES",UPPER(E350)="UNITED STATES OF AMERICA",UPPER(E350)="US",UPPER(E350)="USA"),"USA",E350)</f>
        <v>USA</v>
      </c>
      <c r="N350" t="str" cm="1">
        <f t="array" ref="N350">_xlfn.REGEXEXTRACT(F350,"\d{5}")</f>
        <v>78664</v>
      </c>
    </row>
    <row r="351" spans="1:14" ht="36" x14ac:dyDescent="0.15">
      <c r="A351" s="2" t="s">
        <v>373</v>
      </c>
      <c r="B351" s="2" t="s">
        <v>374</v>
      </c>
      <c r="C351" s="2" t="s">
        <v>375</v>
      </c>
      <c r="D351" s="2" t="s">
        <v>20</v>
      </c>
      <c r="E351" s="2" t="s">
        <v>10</v>
      </c>
      <c r="F351" s="2" t="s">
        <v>376</v>
      </c>
      <c r="G351" s="2"/>
      <c r="H351" s="2"/>
      <c r="I351" s="2" t="str">
        <f>TRIM(CLEAN(SUBSTITUTE(A351,CHAR(10)," ")))</f>
        <v>Ephesus Bistro &amp; Grill Rowlett</v>
      </c>
      <c r="J351" s="2" t="str">
        <f>TRIM(CLEAN(SUBSTITUTE(B351,CHAR(10)," ")))</f>
        <v>6702 Dalrock Rd,</v>
      </c>
      <c r="K351" s="3" t="str">
        <f>PROPER(TRIM(C351))</f>
        <v>Rowlett</v>
      </c>
      <c r="L351" t="str">
        <f>UPPER(LEFT(TRIM(D351),2))</f>
        <v>TX</v>
      </c>
      <c r="M351" t="str">
        <f>IF(OR(UPPER(E351)="UNITED STATES",UPPER(E351)="UNITED STATES OF AMERICA",UPPER(E351)="US",UPPER(E351)="USA"),"USA",E351)</f>
        <v>USA</v>
      </c>
      <c r="N351" t="str" cm="1">
        <f t="array" ref="N351">_xlfn.REGEXEXTRACT(F351,"\d{5}")</f>
        <v>75089</v>
      </c>
    </row>
    <row r="352" spans="1:14" ht="24" x14ac:dyDescent="0.15">
      <c r="A352" s="2" t="s">
        <v>128</v>
      </c>
      <c r="B352" s="2" t="s">
        <v>129</v>
      </c>
      <c r="C352" s="2" t="s">
        <v>130</v>
      </c>
      <c r="D352" s="2" t="s">
        <v>15</v>
      </c>
      <c r="E352" s="2" t="s">
        <v>10</v>
      </c>
      <c r="F352" s="2" t="s">
        <v>131</v>
      </c>
      <c r="G352" s="2"/>
      <c r="H352" s="2"/>
      <c r="I352" s="2" t="str">
        <f>TRIM(CLEAN(SUBSTITUTE(A352,CHAR(10)," ")))</f>
        <v>Babahan uyghur cafe</v>
      </c>
      <c r="J352" s="2" t="str">
        <f>TRIM(CLEAN(SUBSTITUTE(B352,CHAR(10)," ")))</f>
        <v>5306 depot dr</v>
      </c>
      <c r="K352" s="3" t="str">
        <f>PROPER(TRIM(C352))</f>
        <v>Sachse</v>
      </c>
      <c r="L352" t="str">
        <f>UPPER(LEFT(TRIM(D352),2))</f>
        <v>TX</v>
      </c>
      <c r="M352" t="str">
        <f>IF(OR(UPPER(E352)="UNITED STATES",UPPER(E352)="UNITED STATES OF AMERICA",UPPER(E352)="US",UPPER(E352)="USA"),"USA",E352)</f>
        <v>USA</v>
      </c>
      <c r="N352" t="str" cm="1">
        <f t="array" ref="N352">_xlfn.REGEXEXTRACT(F352,"\d{5}")</f>
        <v>75048</v>
      </c>
    </row>
    <row r="353" spans="1:14" ht="24" x14ac:dyDescent="0.15">
      <c r="A353" s="2" t="s">
        <v>650</v>
      </c>
      <c r="B353" s="2" t="s">
        <v>651</v>
      </c>
      <c r="C353" s="2" t="s">
        <v>130</v>
      </c>
      <c r="D353" s="2" t="s">
        <v>20</v>
      </c>
      <c r="E353" s="2" t="s">
        <v>10</v>
      </c>
      <c r="F353" s="2" t="s">
        <v>131</v>
      </c>
      <c r="G353" s="2"/>
      <c r="H353" s="2"/>
      <c r="I353" s="2" t="str">
        <f>TRIM(CLEAN(SUBSTITUTE(A353,CHAR(10)," ")))</f>
        <v>Zayd Halal Market</v>
      </c>
      <c r="J353" s="2" t="str">
        <f>TRIM(CLEAN(SUBSTITUTE(B353,CHAR(10)," ")))</f>
        <v>6504 S state hwy 78</v>
      </c>
      <c r="K353" s="3" t="str">
        <f>PROPER(TRIM(C353))</f>
        <v>Sachse</v>
      </c>
      <c r="L353" t="str">
        <f>UPPER(LEFT(TRIM(D353),2))</f>
        <v>TX</v>
      </c>
      <c r="M353" t="str">
        <f>IF(OR(UPPER(E353)="UNITED STATES",UPPER(E353)="UNITED STATES OF AMERICA",UPPER(E353)="US",UPPER(E353)="USA"),"USA",E353)</f>
        <v>USA</v>
      </c>
      <c r="N353" t="str" cm="1">
        <f t="array" ref="N353">_xlfn.REGEXEXTRACT(F353,"\d{5}")</f>
        <v>75048</v>
      </c>
    </row>
    <row r="354" spans="1:14" ht="36" x14ac:dyDescent="0.15">
      <c r="A354" s="2" t="s">
        <v>323</v>
      </c>
      <c r="B354" s="2" t="s">
        <v>324</v>
      </c>
      <c r="C354" s="2" t="s">
        <v>325</v>
      </c>
      <c r="D354" s="2" t="s">
        <v>20</v>
      </c>
      <c r="E354" s="2" t="s">
        <v>10</v>
      </c>
      <c r="F354" s="2" t="s">
        <v>131</v>
      </c>
      <c r="G354" s="2"/>
      <c r="H354" s="2"/>
      <c r="I354" s="2" t="str">
        <f>TRIM(CLEAN(SUBSTITUTE(A354,CHAR(10)," ")))</f>
        <v>DALLAS HALAL MEAT (Nadeem)</v>
      </c>
      <c r="J354" s="2" t="str">
        <f>TRIM(CLEAN(SUBSTITUTE(B354,CHAR(10)," ")))</f>
        <v>7340 S State Hwy 78 Suite 1200,</v>
      </c>
      <c r="K354" s="3" t="str">
        <f>PROPER(TRIM(C354))</f>
        <v>Sachse</v>
      </c>
      <c r="L354" t="str">
        <f>UPPER(LEFT(TRIM(D354),2))</f>
        <v>TX</v>
      </c>
      <c r="M354" t="str">
        <f>IF(OR(UPPER(E354)="UNITED STATES",UPPER(E354)="UNITED STATES OF AMERICA",UPPER(E354)="US",UPPER(E354)="USA"),"USA",E354)</f>
        <v>USA</v>
      </c>
      <c r="N354" t="str" cm="1">
        <f t="array" ref="N354">_xlfn.REGEXEXTRACT(F354,"\d{5}")</f>
        <v>75048</v>
      </c>
    </row>
    <row r="355" spans="1:14" ht="48" x14ac:dyDescent="0.15">
      <c r="A355" s="2" t="s">
        <v>1254</v>
      </c>
      <c r="B355" s="2" t="s">
        <v>1255</v>
      </c>
      <c r="C355" s="2" t="s">
        <v>1256</v>
      </c>
      <c r="D355" s="2" t="s">
        <v>20</v>
      </c>
      <c r="E355" s="2" t="s">
        <v>10</v>
      </c>
      <c r="F355" s="2" t="s">
        <v>1257</v>
      </c>
      <c r="G355" s="2"/>
      <c r="H355" s="2"/>
      <c r="I355" s="2" t="str">
        <f>TRIM(CLEAN(SUBSTITUTE(A355,CHAR(10)," ")))</f>
        <v>2025 Busy BEE, LLC</v>
      </c>
      <c r="J355" s="2" t="str">
        <f>TRIM(CLEAN(SUBSTITUTE(B355,CHAR(10)," ")))</f>
        <v>22255 US HIGHWAY 281 N STE 101</v>
      </c>
      <c r="K355" s="3" t="str">
        <f>PROPER(TRIM(C355))</f>
        <v>San Antio</v>
      </c>
      <c r="L355" t="str">
        <f>UPPER(LEFT(TRIM(D355),2))</f>
        <v>TX</v>
      </c>
      <c r="M355" t="str">
        <f>IF(OR(UPPER(E355)="UNITED STATES",UPPER(E355)="UNITED STATES OF AMERICA",UPPER(E355)="US",UPPER(E355)="USA"),"USA",E355)</f>
        <v>USA</v>
      </c>
      <c r="N355" t="str" cm="1">
        <f t="array" ref="N355">_xlfn.REGEXEXTRACT(F355,"\d{5}")</f>
        <v>78258</v>
      </c>
    </row>
    <row r="356" spans="1:14" ht="24" x14ac:dyDescent="0.15">
      <c r="A356" s="2" t="s">
        <v>1278</v>
      </c>
      <c r="B356" s="2" t="s">
        <v>1279</v>
      </c>
      <c r="C356" s="2" t="s">
        <v>1260</v>
      </c>
      <c r="D356" s="2" t="s">
        <v>20</v>
      </c>
      <c r="E356" s="2" t="s">
        <v>10</v>
      </c>
      <c r="F356" s="2" t="s">
        <v>1280</v>
      </c>
      <c r="G356" s="2"/>
      <c r="H356" s="2"/>
      <c r="I356" s="2" t="str">
        <f>TRIM(CLEAN(SUBSTITUTE(A356,CHAR(10)," ")))</f>
        <v>LA CAFE BATU LLC</v>
      </c>
      <c r="J356" s="2" t="str">
        <f>TRIM(CLEAN(SUBSTITUTE(B356,CHAR(10)," ")))</f>
        <v>11840 Alamo ranch pkwy</v>
      </c>
      <c r="K356" s="3" t="str">
        <f>PROPER(TRIM(C356))</f>
        <v>San Antonio</v>
      </c>
      <c r="L356" t="str">
        <f>UPPER(LEFT(TRIM(D356),2))</f>
        <v>TX</v>
      </c>
      <c r="M356" t="str">
        <f>IF(OR(UPPER(E356)="UNITED STATES",UPPER(E356)="UNITED STATES OF AMERICA",UPPER(E356)="US",UPPER(E356)="USA"),"USA",E356)</f>
        <v>USA</v>
      </c>
      <c r="N356" t="str" cm="1">
        <f t="array" ref="N356">_xlfn.REGEXEXTRACT(F356,"\d{5}")</f>
        <v>78245</v>
      </c>
    </row>
    <row r="357" spans="1:14" ht="36" x14ac:dyDescent="0.15">
      <c r="A357" s="2" t="s">
        <v>1290</v>
      </c>
      <c r="B357" s="2" t="s">
        <v>1291</v>
      </c>
      <c r="C357" s="2" t="s">
        <v>1292</v>
      </c>
      <c r="D357" s="2"/>
      <c r="E357" s="2" t="s">
        <v>20</v>
      </c>
      <c r="F357" s="2" t="s">
        <v>1293</v>
      </c>
      <c r="G357" s="2"/>
      <c r="H357" s="2"/>
      <c r="I357" s="2" t="str">
        <f>TRIM(CLEAN(SUBSTITUTE(A357,CHAR(10)," ")))</f>
        <v>STMA Business, LLC</v>
      </c>
      <c r="J357" s="2" t="str">
        <f>TRIM(CLEAN(SUBSTITUTE(B357,CHAR(10)," ")))</f>
        <v>12054 Starcrest DR</v>
      </c>
      <c r="K357" s="3" t="str">
        <f>PROPER(TRIM(C357))</f>
        <v>San Antonio</v>
      </c>
      <c r="L357" t="str">
        <f>UPPER(LEFT(TRIM(D357),2))</f>
        <v/>
      </c>
      <c r="M357" t="str">
        <f>IF(OR(UPPER(E357)="UNITED STATES",UPPER(E357)="UNITED STATES OF AMERICA",UPPER(E357)="US",UPPER(E357)="USA"),"USA",E357)</f>
        <v>TX</v>
      </c>
      <c r="N357" t="str" cm="1">
        <f t="array" ref="N357">_xlfn.REGEXEXTRACT(F357,"\d{5}")</f>
        <v>78247</v>
      </c>
    </row>
    <row r="358" spans="1:14" ht="48" x14ac:dyDescent="0.15">
      <c r="A358" s="2" t="s">
        <v>1317</v>
      </c>
      <c r="B358" s="2" t="s">
        <v>1318</v>
      </c>
      <c r="C358" s="2" t="s">
        <v>1260</v>
      </c>
      <c r="D358" s="2" t="s">
        <v>20</v>
      </c>
      <c r="E358" s="2" t="s">
        <v>10</v>
      </c>
      <c r="F358" s="2" t="s">
        <v>1319</v>
      </c>
      <c r="G358" s="2"/>
      <c r="H358" s="2"/>
      <c r="I358" s="2" t="str">
        <f>TRIM(CLEAN(SUBSTITUTE(A358,CHAR(10)," ")))</f>
        <v>Pasha Mediterranean Grill (Blanco)</v>
      </c>
      <c r="J358" s="2" t="str">
        <f>TRIM(CLEAN(SUBSTITUTE(B358,CHAR(10)," ")))</f>
        <v>1207 N Loop 1604 W</v>
      </c>
      <c r="K358" s="3" t="str">
        <f>PROPER(TRIM(C358))</f>
        <v>San Antonio</v>
      </c>
      <c r="L358" t="str">
        <f>UPPER(LEFT(TRIM(D358),2))</f>
        <v>TX</v>
      </c>
      <c r="M358" t="str">
        <f>IF(OR(UPPER(E358)="UNITED STATES",UPPER(E358)="UNITED STATES OF AMERICA",UPPER(E358)="US",UPPER(E358)="USA"),"USA",E358)</f>
        <v>USA</v>
      </c>
      <c r="N358" t="str" cm="1">
        <f t="array" ref="N358">_xlfn.REGEXEXTRACT(F358,"\d{5}")</f>
        <v>78232</v>
      </c>
    </row>
    <row r="359" spans="1:14" ht="36" x14ac:dyDescent="0.15">
      <c r="A359" s="2" t="s">
        <v>1258</v>
      </c>
      <c r="B359" s="2" t="s">
        <v>1259</v>
      </c>
      <c r="C359" s="2" t="s">
        <v>1260</v>
      </c>
      <c r="D359" s="2" t="s">
        <v>20</v>
      </c>
      <c r="E359" s="2"/>
      <c r="F359" s="2" t="s">
        <v>1261</v>
      </c>
      <c r="G359" s="2"/>
      <c r="H359" s="2"/>
      <c r="I359" s="2" t="str">
        <f>TRIM(CLEAN(SUBSTITUTE(A359,CHAR(10)," ")))</f>
        <v>ANA Distribution Inc.</v>
      </c>
      <c r="J359" s="2" t="str">
        <f>TRIM(CLEAN(SUBSTITUTE(B359,CHAR(10)," ")))</f>
        <v>1429 W Hildebrand Ave Suite 106,</v>
      </c>
      <c r="K359" s="3" t="str">
        <f>PROPER(TRIM(C359))</f>
        <v>San Antonio</v>
      </c>
      <c r="L359" t="str">
        <f>UPPER(LEFT(TRIM(D359),2))</f>
        <v>TX</v>
      </c>
      <c r="M359">
        <f>IF(OR(UPPER(E359)="UNITED STATES",UPPER(E359)="UNITED STATES OF AMERICA",UPPER(E359)="US",UPPER(E359)="USA"),"USA",E359)</f>
        <v>0</v>
      </c>
      <c r="N359" t="str" cm="1">
        <f t="array" ref="N359">_xlfn.REGEXEXTRACT(F359,"\d{5}")</f>
        <v>78201</v>
      </c>
    </row>
    <row r="360" spans="1:14" ht="24" x14ac:dyDescent="0.15">
      <c r="A360" s="2" t="s">
        <v>1275</v>
      </c>
      <c r="B360" s="2" t="s">
        <v>1276</v>
      </c>
      <c r="C360" s="2" t="s">
        <v>1260</v>
      </c>
      <c r="D360" s="2" t="s">
        <v>20</v>
      </c>
      <c r="E360" s="2" t="s">
        <v>10</v>
      </c>
      <c r="F360" s="2" t="s">
        <v>1277</v>
      </c>
      <c r="G360" s="2"/>
      <c r="H360" s="2"/>
      <c r="I360" s="2" t="str">
        <f>TRIM(CLEAN(SUBSTITUTE(A360,CHAR(10)," ")))</f>
        <v>Chef’s Table</v>
      </c>
      <c r="J360" s="2" t="str">
        <f>TRIM(CLEAN(SUBSTITUTE(B360,CHAR(10)," ")))</f>
        <v>1546 Babcock Rd #102, ,</v>
      </c>
      <c r="K360" s="3" t="str">
        <f>PROPER(TRIM(C360))</f>
        <v>San Antonio</v>
      </c>
      <c r="L360" t="str">
        <f>UPPER(LEFT(TRIM(D360),2))</f>
        <v>TX</v>
      </c>
      <c r="M360" t="str">
        <f>IF(OR(UPPER(E360)="UNITED STATES",UPPER(E360)="UNITED STATES OF AMERICA",UPPER(E360)="US",UPPER(E360)="USA"),"USA",E360)</f>
        <v>USA</v>
      </c>
      <c r="N360" t="str" cm="1">
        <f t="array" ref="N360">_xlfn.REGEXEXTRACT(F360,"\d{5}")</f>
        <v>78229</v>
      </c>
    </row>
    <row r="361" spans="1:14" ht="36" x14ac:dyDescent="0.15">
      <c r="A361" s="2" t="s">
        <v>1281</v>
      </c>
      <c r="B361" s="2" t="s">
        <v>1282</v>
      </c>
      <c r="C361" s="2" t="s">
        <v>1283</v>
      </c>
      <c r="D361" s="2" t="s">
        <v>20</v>
      </c>
      <c r="E361" s="2" t="s">
        <v>10</v>
      </c>
      <c r="F361" s="2" t="s">
        <v>1284</v>
      </c>
      <c r="G361" s="2"/>
      <c r="H361" s="2"/>
      <c r="I361" s="2" t="str">
        <f>TRIM(CLEAN(SUBSTITUTE(A361,CHAR(10)," ")))</f>
        <v>Pasha Restaurant group Inc</v>
      </c>
      <c r="J361" s="2" t="str">
        <f>TRIM(CLEAN(SUBSTITUTE(B361,CHAR(10)," ")))</f>
        <v>17425 Redland Rd</v>
      </c>
      <c r="K361" s="3" t="str">
        <f>PROPER(TRIM(C361))</f>
        <v>San Antonio</v>
      </c>
      <c r="L361" t="str">
        <f>UPPER(LEFT(TRIM(D361),2))</f>
        <v>TX</v>
      </c>
      <c r="M361" t="str">
        <f>IF(OR(UPPER(E361)="UNITED STATES",UPPER(E361)="UNITED STATES OF AMERICA",UPPER(E361)="US",UPPER(E361)="USA"),"USA",E361)</f>
        <v>USA</v>
      </c>
      <c r="N361" t="str" cm="1">
        <f t="array" ref="N361">_xlfn.REGEXEXTRACT(F361,"\d{5}")</f>
        <v>78247</v>
      </c>
    </row>
    <row r="362" spans="1:14" ht="24" x14ac:dyDescent="0.15">
      <c r="A362" s="2" t="s">
        <v>1262</v>
      </c>
      <c r="B362" s="2" t="s">
        <v>1263</v>
      </c>
      <c r="C362" s="2" t="s">
        <v>1260</v>
      </c>
      <c r="D362" s="2" t="s">
        <v>20</v>
      </c>
      <c r="E362" s="2" t="s">
        <v>10</v>
      </c>
      <c r="F362" s="2" t="s">
        <v>1264</v>
      </c>
      <c r="G362" s="2"/>
      <c r="H362" s="2"/>
      <c r="I362" s="2" t="str">
        <f>TRIM(CLEAN(SUBSTITUTE(A362,CHAR(10)," ")))</f>
        <v>Avila Produce Inc</v>
      </c>
      <c r="J362" s="2" t="str">
        <f>TRIM(CLEAN(SUBSTITUTE(B362,CHAR(10)," ")))</f>
        <v>1803 S Zarzamora St</v>
      </c>
      <c r="K362" s="3" t="str">
        <f>PROPER(TRIM(C362))</f>
        <v>San Antonio</v>
      </c>
      <c r="L362" t="str">
        <f>UPPER(LEFT(TRIM(D362),2))</f>
        <v>TX</v>
      </c>
      <c r="M362" t="str">
        <f>IF(OR(UPPER(E362)="UNITED STATES",UPPER(E362)="UNITED STATES OF AMERICA",UPPER(E362)="US",UPPER(E362)="USA"),"USA",E362)</f>
        <v>USA</v>
      </c>
      <c r="N362" t="str" cm="1">
        <f t="array" ref="N362">_xlfn.REGEXEXTRACT(F362,"\d{5}")</f>
        <v>78207</v>
      </c>
    </row>
    <row r="363" spans="1:14" ht="36" x14ac:dyDescent="0.15">
      <c r="A363" s="2" t="s">
        <v>1310</v>
      </c>
      <c r="B363" s="2" t="s">
        <v>1311</v>
      </c>
      <c r="C363" s="2" t="s">
        <v>1260</v>
      </c>
      <c r="D363" s="2" t="s">
        <v>102</v>
      </c>
      <c r="E363" s="2" t="s">
        <v>10</v>
      </c>
      <c r="F363" s="2" t="s">
        <v>1312</v>
      </c>
      <c r="G363" s="2"/>
      <c r="H363" s="2"/>
      <c r="I363" s="2" t="str">
        <f>TRIM(CLEAN(SUBSTITUTE(A363,CHAR(10)," ")))</f>
        <v>Liva Mediterranean Grill</v>
      </c>
      <c r="J363" s="2" t="str">
        <f>TRIM(CLEAN(SUBSTITUTE(B363,CHAR(10)," ")))</f>
        <v>2026 Austin Hwy</v>
      </c>
      <c r="K363" s="3" t="str">
        <f>PROPER(TRIM(C363))</f>
        <v>San Antonio</v>
      </c>
      <c r="L363" t="str">
        <f>UPPER(LEFT(TRIM(D363),2))</f>
        <v>TE</v>
      </c>
      <c r="M363" t="str">
        <f>IF(OR(UPPER(E363)="UNITED STATES",UPPER(E363)="UNITED STATES OF AMERICA",UPPER(E363)="US",UPPER(E363)="USA"),"USA",E363)</f>
        <v>USA</v>
      </c>
      <c r="N363" t="str" cm="1">
        <f t="array" ref="N363">_xlfn.REGEXEXTRACT(F363,"\d{5}")</f>
        <v>78218</v>
      </c>
    </row>
    <row r="364" spans="1:14" x14ac:dyDescent="0.15">
      <c r="A364" s="2" t="s">
        <v>1269</v>
      </c>
      <c r="B364" s="2" t="s">
        <v>1270</v>
      </c>
      <c r="C364" s="2" t="s">
        <v>1260</v>
      </c>
      <c r="D364" s="2" t="s">
        <v>20</v>
      </c>
      <c r="E364" s="2" t="s">
        <v>10</v>
      </c>
      <c r="F364" s="2" t="s">
        <v>1271</v>
      </c>
      <c r="G364" s="2"/>
      <c r="H364" s="2"/>
      <c r="I364" s="2" t="str">
        <f>TRIM(CLEAN(SUBSTITUTE(A364,CHAR(10)," ")))</f>
        <v>Bowls N Go</v>
      </c>
      <c r="J364" s="2" t="str">
        <f>TRIM(CLEAN(SUBSTITUTE(B364,CHAR(10)," ")))</f>
        <v>203 8th st</v>
      </c>
      <c r="K364" s="3" t="str">
        <f>PROPER(TRIM(C364))</f>
        <v>San Antonio</v>
      </c>
      <c r="L364" t="str">
        <f>UPPER(LEFT(TRIM(D364),2))</f>
        <v>TX</v>
      </c>
      <c r="M364" t="str">
        <f>IF(OR(UPPER(E364)="UNITED STATES",UPPER(E364)="UNITED STATES OF AMERICA",UPPER(E364)="US",UPPER(E364)="USA"),"USA",E364)</f>
        <v>USA</v>
      </c>
      <c r="N364" t="str" cm="1">
        <f t="array" ref="N364">_xlfn.REGEXEXTRACT(F364,"\d{5}")</f>
        <v>78215</v>
      </c>
    </row>
    <row r="365" spans="1:14" ht="36" x14ac:dyDescent="0.15">
      <c r="A365" s="2" t="s">
        <v>1307</v>
      </c>
      <c r="B365" s="2" t="s">
        <v>1308</v>
      </c>
      <c r="C365" s="2" t="s">
        <v>1260</v>
      </c>
      <c r="D365" s="2" t="s">
        <v>20</v>
      </c>
      <c r="E365" s="2" t="s">
        <v>10</v>
      </c>
      <c r="F365" s="2" t="s">
        <v>1309</v>
      </c>
      <c r="G365" s="2"/>
      <c r="H365" s="2"/>
      <c r="I365" s="2" t="str">
        <f>TRIM(CLEAN(SUBSTITUTE(A365,CHAR(10)," ")))</f>
        <v>Dolo Gelato Coffee and Pastries</v>
      </c>
      <c r="J365" s="2" t="str">
        <f>TRIM(CLEAN(SUBSTITUTE(B365,CHAR(10)," ")))</f>
        <v>23127 W I-10 #201</v>
      </c>
      <c r="K365" s="3" t="str">
        <f>PROPER(TRIM(C365))</f>
        <v>San Antonio</v>
      </c>
      <c r="L365" s="8" t="s">
        <v>20</v>
      </c>
      <c r="M365" t="str">
        <f>IF(OR(UPPER(E365)="UNITED STATES",UPPER(E365)="UNITED STATES OF AMERICA",UPPER(E365)="US",UPPER(E365)="USA"),"USA",E365)</f>
        <v>USA</v>
      </c>
      <c r="N365" t="str" cm="1">
        <f t="array" ref="N365">_xlfn.REGEXEXTRACT(F365,"\d{5}")</f>
        <v>78256</v>
      </c>
    </row>
    <row r="366" spans="1:14" ht="36" x14ac:dyDescent="0.15">
      <c r="A366" s="2" t="s">
        <v>1285</v>
      </c>
      <c r="B366" s="2" t="s">
        <v>1286</v>
      </c>
      <c r="C366" s="2" t="s">
        <v>1260</v>
      </c>
      <c r="D366" s="2" t="s">
        <v>20</v>
      </c>
      <c r="E366" s="2" t="s">
        <v>10</v>
      </c>
      <c r="F366" s="2" t="s">
        <v>1287</v>
      </c>
      <c r="G366" s="2"/>
      <c r="H366" s="2"/>
      <c r="I366" s="2" t="str">
        <f>TRIM(CLEAN(SUBSTITUTE(A366,CHAR(10)," ")))</f>
        <v>Raindrop Foundation San Antonio</v>
      </c>
      <c r="J366" s="2" t="str">
        <f>TRIM(CLEAN(SUBSTITUTE(B366,CHAR(10)," ")))</f>
        <v>4337 Vance Jackson Rd Ste#203</v>
      </c>
      <c r="K366" s="3" t="str">
        <f>PROPER(TRIM(C366))</f>
        <v>San Antonio</v>
      </c>
      <c r="L366" t="str">
        <f>UPPER(LEFT(TRIM(D366),2))</f>
        <v>TX</v>
      </c>
      <c r="M366" t="str">
        <f>IF(OR(UPPER(E366)="UNITED STATES",UPPER(E366)="UNITED STATES OF AMERICA",UPPER(E366)="US",UPPER(E366)="USA"),"USA",E366)</f>
        <v>USA</v>
      </c>
      <c r="N366" t="str" cm="1">
        <f t="array" ref="N366">_xlfn.REGEXEXTRACT(F366,"\d{5}")</f>
        <v>78230</v>
      </c>
    </row>
    <row r="367" spans="1:14" ht="36" x14ac:dyDescent="0.15">
      <c r="A367" s="2" t="s">
        <v>1294</v>
      </c>
      <c r="B367" s="2" t="s">
        <v>1295</v>
      </c>
      <c r="C367" s="2" t="s">
        <v>1260</v>
      </c>
      <c r="D367" s="2" t="s">
        <v>1296</v>
      </c>
      <c r="E367" s="2" t="s">
        <v>10</v>
      </c>
      <c r="F367" s="2" t="s">
        <v>1297</v>
      </c>
      <c r="G367" s="2"/>
      <c r="H367" s="2"/>
      <c r="I367" s="2" t="str">
        <f>TRIM(CLEAN(SUBSTITUTE(A367,CHAR(10)," ")))</f>
        <v>Texas Wholesale ( SA)</v>
      </c>
      <c r="J367" s="2" t="str">
        <f>TRIM(CLEAN(SUBSTITUTE(B367,CHAR(10)," ")))</f>
        <v>5025 Timberhill Dr #111</v>
      </c>
      <c r="K367" s="3" t="str">
        <f>PROPER(TRIM(C367))</f>
        <v>San Antonio</v>
      </c>
      <c r="L367" t="str">
        <f>UPPER(LEFT(TRIM(D367),2))</f>
        <v xml:space="preserve">, </v>
      </c>
      <c r="M367" t="str">
        <f>IF(OR(UPPER(E367)="UNITED STATES",UPPER(E367)="UNITED STATES OF AMERICA",UPPER(E367)="US",UPPER(E367)="USA"),"USA",E367)</f>
        <v>USA</v>
      </c>
      <c r="N367" t="str" cm="1">
        <f t="array" ref="N367">_xlfn.REGEXEXTRACT(F367,"\d{5}")</f>
        <v>78238</v>
      </c>
    </row>
    <row r="368" spans="1:14" ht="24" x14ac:dyDescent="0.15">
      <c r="A368" s="2" t="s">
        <v>1326</v>
      </c>
      <c r="B368" s="2" t="s">
        <v>1327</v>
      </c>
      <c r="C368" s="2" t="s">
        <v>1260</v>
      </c>
      <c r="D368" s="2" t="s">
        <v>20</v>
      </c>
      <c r="E368" s="2" t="s">
        <v>10</v>
      </c>
      <c r="F368" s="2" t="s">
        <v>1304</v>
      </c>
      <c r="G368" s="2"/>
      <c r="H368" s="2"/>
      <c r="I368" s="2" t="str">
        <f>TRIM(CLEAN(SUBSTITUTE(A368,CHAR(10)," ")))</f>
        <v>Shisha Cafe</v>
      </c>
      <c r="J368" s="2" t="str">
        <f>TRIM(CLEAN(SUBSTITUTE(B368,CHAR(10)," ")))</f>
        <v>5500 Babcock Rd #101</v>
      </c>
      <c r="K368" s="3" t="str">
        <f>PROPER(TRIM(C368))</f>
        <v>San Antonio</v>
      </c>
      <c r="L368" t="str">
        <f>UPPER(LEFT(TRIM(D368),2))</f>
        <v>TX</v>
      </c>
      <c r="M368" t="str">
        <f>IF(OR(UPPER(E368)="UNITED STATES",UPPER(E368)="UNITED STATES OF AMERICA",UPPER(E368)="US",UPPER(E368)="USA"),"USA",E368)</f>
        <v>USA</v>
      </c>
      <c r="N368" t="str" cm="1">
        <f t="array" ref="N368">_xlfn.REGEXEXTRACT(F368,"\d{5}")</f>
        <v>78240</v>
      </c>
    </row>
    <row r="369" spans="1:14" ht="36" x14ac:dyDescent="0.15">
      <c r="A369" s="2" t="s">
        <v>1302</v>
      </c>
      <c r="B369" s="2" t="s">
        <v>1303</v>
      </c>
      <c r="C369" s="2" t="s">
        <v>1260</v>
      </c>
      <c r="D369" s="2" t="s">
        <v>20</v>
      </c>
      <c r="E369" s="2" t="s">
        <v>10</v>
      </c>
      <c r="F369" s="2" t="s">
        <v>1304</v>
      </c>
      <c r="G369" s="2"/>
      <c r="H369" s="2"/>
      <c r="I369" s="2" t="str">
        <f>TRIM(CLEAN(SUBSTITUTE(A369,CHAR(10)," ")))</f>
        <v>Ali Baba International Food Market</v>
      </c>
      <c r="J369" s="2" t="str">
        <f>TRIM(CLEAN(SUBSTITUTE(B369,CHAR(10)," ")))</f>
        <v>9307 Wurzbach Rd</v>
      </c>
      <c r="K369" s="3" t="str">
        <f>PROPER(TRIM(C369))</f>
        <v>San Antonio</v>
      </c>
      <c r="L369" t="str">
        <f>UPPER(LEFT(TRIM(D369),2))</f>
        <v>TX</v>
      </c>
      <c r="M369" t="str">
        <f>IF(OR(UPPER(E369)="UNITED STATES",UPPER(E369)="UNITED STATES OF AMERICA",UPPER(E369)="US",UPPER(E369)="USA"),"USA",E369)</f>
        <v>USA</v>
      </c>
      <c r="N369" t="str" cm="1">
        <f t="array" ref="N369">_xlfn.REGEXEXTRACT(F369,"\d{5}")</f>
        <v>78240</v>
      </c>
    </row>
    <row r="370" spans="1:14" ht="36" x14ac:dyDescent="0.15">
      <c r="A370" s="2" t="s">
        <v>1324</v>
      </c>
      <c r="B370" s="2" t="s">
        <v>1325</v>
      </c>
      <c r="C370" s="2" t="s">
        <v>1260</v>
      </c>
      <c r="D370" s="2" t="s">
        <v>20</v>
      </c>
      <c r="E370" s="2" t="s">
        <v>10</v>
      </c>
      <c r="F370" s="2" t="s">
        <v>1304</v>
      </c>
      <c r="G370" s="2"/>
      <c r="H370" s="2"/>
      <c r="I370" s="2" t="str">
        <f>TRIM(CLEAN(SUBSTITUTE(A370,CHAR(10)," ")))</f>
        <v>Zaatar Lebanese Grill</v>
      </c>
      <c r="J370" s="2" t="str">
        <f>TRIM(CLEAN(SUBSTITUTE(B370,CHAR(10)," ")))</f>
        <v>9323 Wurzbach Rd</v>
      </c>
      <c r="K370" s="3" t="str">
        <f>PROPER(TRIM(C370))</f>
        <v>San Antonio</v>
      </c>
      <c r="L370" t="str">
        <f>UPPER(LEFT(TRIM(D370),2))</f>
        <v>TX</v>
      </c>
      <c r="M370" t="str">
        <f>IF(OR(UPPER(E370)="UNITED STATES",UPPER(E370)="UNITED STATES OF AMERICA",UPPER(E370)="US",UPPER(E370)="USA"),"USA",E370)</f>
        <v>USA</v>
      </c>
      <c r="N370" t="str" cm="1">
        <f t="array" ref="N370">_xlfn.REGEXEXTRACT(F370,"\d{5}")</f>
        <v>78240</v>
      </c>
    </row>
    <row r="371" spans="1:14" ht="60" x14ac:dyDescent="0.15">
      <c r="A371" s="2" t="s">
        <v>1315</v>
      </c>
      <c r="B371" s="2" t="s">
        <v>1316</v>
      </c>
      <c r="C371" s="2" t="s">
        <v>1260</v>
      </c>
      <c r="D371" s="2" t="s">
        <v>20</v>
      </c>
      <c r="E371" s="2" t="s">
        <v>10</v>
      </c>
      <c r="F371" s="2" t="s">
        <v>1304</v>
      </c>
      <c r="G371" s="2"/>
      <c r="H371" s="2"/>
      <c r="I371" s="2" t="str">
        <f>TRIM(CLEAN(SUBSTITUTE(A371,CHAR(10)," ")))</f>
        <v>Baklovah Bakery &amp; Sweets</v>
      </c>
      <c r="J371" s="2" t="str">
        <f>TRIM(CLEAN(SUBSTITUTE(B371,CHAR(10)," ")))</f>
        <v>9329 Wurzbach Rd #104, San Antonio, TX 78240</v>
      </c>
      <c r="K371" s="3" t="str">
        <f>PROPER(TRIM(C371))</f>
        <v>San Antonio</v>
      </c>
      <c r="L371" t="str">
        <f>UPPER(LEFT(TRIM(D371),2))</f>
        <v>TX</v>
      </c>
      <c r="M371" t="str">
        <f>IF(OR(UPPER(E371)="UNITED STATES",UPPER(E371)="UNITED STATES OF AMERICA",UPPER(E371)="US",UPPER(E371)="USA"),"USA",E371)</f>
        <v>USA</v>
      </c>
      <c r="N371" t="str" cm="1">
        <f t="array" ref="N371">_xlfn.REGEXEXTRACT(F371,"\d{5}")</f>
        <v>78240</v>
      </c>
    </row>
    <row r="372" spans="1:14" ht="36" x14ac:dyDescent="0.15">
      <c r="A372" s="2" t="s">
        <v>1313</v>
      </c>
      <c r="B372" s="2" t="s">
        <v>1314</v>
      </c>
      <c r="C372" s="2" t="s">
        <v>1292</v>
      </c>
      <c r="D372" s="2" t="s">
        <v>20</v>
      </c>
      <c r="E372" s="2" t="s">
        <v>10</v>
      </c>
      <c r="F372" s="2" t="s">
        <v>1304</v>
      </c>
      <c r="G372" s="2"/>
      <c r="H372" s="2"/>
      <c r="I372" s="2" t="str">
        <f>TRIM(CLEAN(SUBSTITUTE(A372,CHAR(10)," ")))</f>
        <v>BHD Management llc</v>
      </c>
      <c r="J372" s="2" t="str">
        <f>TRIM(CLEAN(SUBSTITUTE(B372,CHAR(10)," ")))</f>
        <v>9392 WURZBACH RD</v>
      </c>
      <c r="K372" s="3" t="str">
        <f>PROPER(TRIM(C372))</f>
        <v>San Antonio</v>
      </c>
      <c r="L372" t="str">
        <f>UPPER(LEFT(TRIM(D372),2))</f>
        <v>TX</v>
      </c>
      <c r="M372" t="str">
        <f>IF(OR(UPPER(E372)="UNITED STATES",UPPER(E372)="UNITED STATES OF AMERICA",UPPER(E372)="US",UPPER(E372)="USA"),"USA",E372)</f>
        <v>USA</v>
      </c>
      <c r="N372" t="str" cm="1">
        <f t="array" ref="N372">_xlfn.REGEXEXTRACT(F372,"\d{5}")</f>
        <v>78240</v>
      </c>
    </row>
    <row r="373" spans="1:14" ht="48" x14ac:dyDescent="0.15">
      <c r="A373" s="2" t="s">
        <v>1320</v>
      </c>
      <c r="B373" s="2" t="s">
        <v>1321</v>
      </c>
      <c r="C373" s="2" t="s">
        <v>1322</v>
      </c>
      <c r="D373" s="2" t="s">
        <v>20</v>
      </c>
      <c r="E373" s="2" t="s">
        <v>10</v>
      </c>
      <c r="F373" s="2" t="s">
        <v>1323</v>
      </c>
      <c r="G373" s="2"/>
      <c r="H373" s="2"/>
      <c r="I373" s="2" t="str">
        <f>TRIM(CLEAN(SUBSTITUTE(A373,CHAR(10)," ")))</f>
        <v>Pasha Mediterranean Grill Selma</v>
      </c>
      <c r="J373" s="2" t="str">
        <f>TRIM(CLEAN(SUBSTITUTE(B373,CHAR(10)," ")))</f>
        <v>15069 I-35 Ste. 202, Selma, TX 78154</v>
      </c>
      <c r="K373" s="3" t="str">
        <f>PROPER(TRIM(C373))</f>
        <v>Selma</v>
      </c>
      <c r="L373" t="str">
        <f>UPPER(LEFT(TRIM(D373),2))</f>
        <v>TX</v>
      </c>
      <c r="M373" t="str">
        <f>IF(OR(UPPER(E373)="UNITED STATES",UPPER(E373)="UNITED STATES OF AMERICA",UPPER(E373)="US",UPPER(E373)="USA"),"USA",E373)</f>
        <v>USA</v>
      </c>
      <c r="N373" t="str" cm="1">
        <f t="array" ref="N373">_xlfn.REGEXEXTRACT(F373,"\d{5}")</f>
        <v>78154</v>
      </c>
    </row>
    <row r="374" spans="1:14" ht="36" x14ac:dyDescent="0.15">
      <c r="A374" s="2" t="s">
        <v>478</v>
      </c>
      <c r="B374" s="2" t="s">
        <v>479</v>
      </c>
      <c r="C374" s="2" t="s">
        <v>480</v>
      </c>
      <c r="D374" s="2" t="s">
        <v>402</v>
      </c>
      <c r="E374" s="2" t="s">
        <v>430</v>
      </c>
      <c r="F374" s="2" t="s">
        <v>481</v>
      </c>
      <c r="G374" s="2"/>
      <c r="H374" s="2"/>
      <c r="I374" s="2" t="str">
        <f>TRIM(CLEAN(SUBSTITUTE(A374,CHAR(10)," ")))</f>
        <v>Istanbul Cuisine</v>
      </c>
      <c r="J374" s="2" t="str">
        <f>TRIM(CLEAN(SUBSTITUTE(B374,CHAR(10)," ")))</f>
        <v>2140 South Lake Blvd Suit S</v>
      </c>
      <c r="K374" s="3" t="str">
        <f>PROPER(TRIM(C374))</f>
        <v>Southlake</v>
      </c>
      <c r="L374" t="str">
        <f>UPPER(LEFT(TRIM(D374),2))</f>
        <v>TX</v>
      </c>
      <c r="M374" t="str">
        <f>IF(OR(UPPER(E374)="UNITED STATES",UPPER(E374)="UNITED STATES OF AMERICA",UPPER(E374)="US",UPPER(E374)="USA"),"USA",E374)</f>
        <v>USA</v>
      </c>
      <c r="N374" t="str" cm="1">
        <f t="array" ref="N374">_xlfn.REGEXEXTRACT(F374,"\d{5}")</f>
        <v>77092</v>
      </c>
    </row>
    <row r="375" spans="1:14" ht="36" x14ac:dyDescent="0.15">
      <c r="A375" s="2" t="s">
        <v>925</v>
      </c>
      <c r="B375" s="2" t="s">
        <v>926</v>
      </c>
      <c r="C375" s="2" t="s">
        <v>736</v>
      </c>
      <c r="D375" s="2" t="s">
        <v>20</v>
      </c>
      <c r="E375" s="2" t="s">
        <v>10</v>
      </c>
      <c r="F375" s="2" t="s">
        <v>916</v>
      </c>
      <c r="G375" s="2"/>
      <c r="H375" s="2"/>
      <c r="I375" s="2"/>
      <c r="J375" s="2"/>
      <c r="K375" s="3"/>
    </row>
    <row r="376" spans="1:14" ht="48" x14ac:dyDescent="0.15">
      <c r="A376" s="2" t="s">
        <v>914</v>
      </c>
      <c r="B376" s="2" t="s">
        <v>915</v>
      </c>
      <c r="C376" s="2" t="s">
        <v>736</v>
      </c>
      <c r="D376" s="2" t="s">
        <v>20</v>
      </c>
      <c r="E376" s="2" t="s">
        <v>10</v>
      </c>
      <c r="F376" s="2" t="s">
        <v>916</v>
      </c>
      <c r="G376" s="2"/>
      <c r="H376" s="2"/>
      <c r="I376" s="2" t="str">
        <f>TRIM(CLEAN(SUBSTITUTE(A376,CHAR(10)," ")))</f>
        <v>Barbarossa Coffee Gosling location</v>
      </c>
      <c r="J376" s="2" t="str">
        <f>TRIM(CLEAN(SUBSTITUTE(B376,CHAR(10)," ")))</f>
        <v>21943 Gosling Rd Suite 100</v>
      </c>
      <c r="K376" s="3" t="str">
        <f>PROPER(TRIM(C376))</f>
        <v>Spring</v>
      </c>
      <c r="L376" t="str">
        <f>UPPER(LEFT(TRIM(D376),2))</f>
        <v>TX</v>
      </c>
      <c r="M376" t="str">
        <f>IF(OR(UPPER(E376)="UNITED STATES",UPPER(E376)="UNITED STATES OF AMERICA",UPPER(E376)="US",UPPER(E376)="USA"),"USA",E376)</f>
        <v>USA</v>
      </c>
      <c r="N376" t="str" cm="1">
        <f t="array" ref="N376">_xlfn.REGEXEXTRACT(F376,"\d{5}")</f>
        <v>77388</v>
      </c>
    </row>
    <row r="377" spans="1:14" ht="24" x14ac:dyDescent="0.15">
      <c r="A377" s="2" t="s">
        <v>947</v>
      </c>
      <c r="B377" s="2" t="s">
        <v>948</v>
      </c>
      <c r="C377" s="2" t="s">
        <v>736</v>
      </c>
      <c r="D377" s="2" t="s">
        <v>20</v>
      </c>
      <c r="E377" s="2" t="s">
        <v>10</v>
      </c>
      <c r="F377" s="2" t="s">
        <v>949</v>
      </c>
      <c r="G377" s="2"/>
      <c r="H377" s="2"/>
      <c r="I377" s="2" t="str">
        <f>TRIM(CLEAN(SUBSTITUTE(A377,CHAR(10)," ")))</f>
        <v>Expressistanbul LLC</v>
      </c>
      <c r="J377" s="2" t="str">
        <f>TRIM(CLEAN(SUBSTITUTE(B377,CHAR(10)," ")))</f>
        <v>25115 Gosling Rd, Spring</v>
      </c>
      <c r="K377" s="3" t="str">
        <f>PROPER(TRIM(C377))</f>
        <v>Spring</v>
      </c>
      <c r="L377" t="str">
        <f>UPPER(LEFT(TRIM(D377),2))</f>
        <v>TX</v>
      </c>
      <c r="M377" t="str">
        <f>IF(OR(UPPER(E377)="UNITED STATES",UPPER(E377)="UNITED STATES OF AMERICA",UPPER(E377)="US",UPPER(E377)="USA"),"USA",E377)</f>
        <v>USA</v>
      </c>
      <c r="N377" t="str" cm="1">
        <f t="array" ref="N377">_xlfn.REGEXEXTRACT(F377,"\d{5}")</f>
        <v>77389</v>
      </c>
    </row>
    <row r="378" spans="1:14" ht="72" x14ac:dyDescent="0.15">
      <c r="A378" s="2" t="s">
        <v>734</v>
      </c>
      <c r="B378" s="2" t="s">
        <v>735</v>
      </c>
      <c r="C378" s="2" t="s">
        <v>736</v>
      </c>
      <c r="D378" s="2" t="s">
        <v>20</v>
      </c>
      <c r="E378" s="2" t="s">
        <v>10</v>
      </c>
      <c r="F378" s="2" t="s">
        <v>737</v>
      </c>
      <c r="G378" s="2"/>
      <c r="H378" s="2"/>
      <c r="I378" s="2" t="str">
        <f>TRIM(CLEAN(SUBSTITUTE(A378,CHAR(10)," ")))</f>
        <v>Al Eman Halal Meat and Indo-Pak &amp; Middle Eastern Grocery</v>
      </c>
      <c r="J378" s="2" t="str">
        <f>TRIM(CLEAN(SUBSTITUTE(B378,CHAR(10)," ")))</f>
        <v>9001 Louetta Rd</v>
      </c>
      <c r="K378" s="3" t="str">
        <f>PROPER(TRIM(C378))</f>
        <v>Spring</v>
      </c>
      <c r="L378" t="str">
        <f>UPPER(LEFT(TRIM(D378),2))</f>
        <v>TX</v>
      </c>
      <c r="M378" t="str">
        <f>IF(OR(UPPER(E378)="UNITED STATES",UPPER(E378)="UNITED STATES OF AMERICA",UPPER(E378)="US",UPPER(E378)="USA"),"USA",E378)</f>
        <v>USA</v>
      </c>
      <c r="N378" t="str" cm="1">
        <f t="array" ref="N378">_xlfn.REGEXEXTRACT(F378,"\d{5}")</f>
        <v>77379</v>
      </c>
    </row>
    <row r="379" spans="1:14" ht="24" x14ac:dyDescent="0.15">
      <c r="A379" s="2" t="s">
        <v>1067</v>
      </c>
      <c r="B379" s="2" t="s">
        <v>1068</v>
      </c>
      <c r="C379" s="2" t="s">
        <v>736</v>
      </c>
      <c r="D379" s="2" t="s">
        <v>20</v>
      </c>
      <c r="E379" s="2" t="s">
        <v>10</v>
      </c>
      <c r="F379" s="2" t="s">
        <v>1069</v>
      </c>
      <c r="G379" s="2"/>
      <c r="H379" s="2"/>
      <c r="I379" s="2" t="str">
        <f>TRIM(CLEAN(SUBSTITUTE(A379,CHAR(10)," ")))</f>
        <v>The Core Cafe</v>
      </c>
      <c r="J379" s="2" t="str">
        <f>TRIM(CLEAN(SUBSTITUTE(B379,CHAR(10)," ")))</f>
        <v>9222 Louetta Rd</v>
      </c>
      <c r="K379" s="3" t="str">
        <f>PROPER(TRIM(C379))</f>
        <v>Spring</v>
      </c>
      <c r="L379" t="str">
        <f>UPPER(LEFT(TRIM(D379),2))</f>
        <v>TX</v>
      </c>
      <c r="M379" t="str">
        <f>IF(OR(UPPER(E379)="UNITED STATES",UPPER(E379)="UNITED STATES OF AMERICA",UPPER(E379)="US",UPPER(E379)="USA"),"USA",E379)</f>
        <v>USA</v>
      </c>
      <c r="N379" t="str" cm="1">
        <f t="array" ref="N379">_xlfn.REGEXEXTRACT(F379,"\d{5}")</f>
        <v>77379</v>
      </c>
    </row>
    <row r="380" spans="1:14" ht="36" x14ac:dyDescent="0.15">
      <c r="A380" s="2" t="s">
        <v>1081</v>
      </c>
      <c r="B380" s="2" t="s">
        <v>1082</v>
      </c>
      <c r="C380" s="2" t="s">
        <v>736</v>
      </c>
      <c r="D380" s="2" t="s">
        <v>20</v>
      </c>
      <c r="E380" s="2" t="s">
        <v>10</v>
      </c>
      <c r="F380" s="2" t="s">
        <v>737</v>
      </c>
      <c r="G380" s="2"/>
      <c r="H380" s="2"/>
      <c r="I380" s="2" t="str">
        <f>TRIM(CLEAN(SUBSTITUTE(A380,CHAR(10)," ")))</f>
        <v>Yucca Grill Turkish Cuisine</v>
      </c>
      <c r="J380" s="2" t="str">
        <f>TRIM(CLEAN(SUBSTITUTE(B380,CHAR(10)," ")))</f>
        <v>9222 Louetta Rd #100</v>
      </c>
      <c r="K380" s="3" t="str">
        <f>PROPER(TRIM(C380))</f>
        <v>Spring</v>
      </c>
      <c r="L380" t="str">
        <f>UPPER(LEFT(TRIM(D380),2))</f>
        <v>TX</v>
      </c>
      <c r="M380" t="str">
        <f>IF(OR(UPPER(E380)="UNITED STATES",UPPER(E380)="UNITED STATES OF AMERICA",UPPER(E380)="US",UPPER(E380)="USA"),"USA",E380)</f>
        <v>USA</v>
      </c>
      <c r="N380" t="str" cm="1">
        <f t="array" ref="N380">_xlfn.REGEXEXTRACT(F380,"\d{5}")</f>
        <v>77379</v>
      </c>
    </row>
    <row r="381" spans="1:14" ht="36" x14ac:dyDescent="0.15">
      <c r="A381" s="2" t="s">
        <v>1086</v>
      </c>
      <c r="B381" s="2" t="s">
        <v>1087</v>
      </c>
      <c r="C381" s="2" t="s">
        <v>736</v>
      </c>
      <c r="D381" s="2" t="s">
        <v>20</v>
      </c>
      <c r="E381" s="2" t="s">
        <v>10</v>
      </c>
      <c r="F381" s="2" t="s">
        <v>737</v>
      </c>
      <c r="G381" s="2"/>
      <c r="H381" s="2"/>
      <c r="I381" s="2" t="str">
        <f>TRIM(CLEAN(SUBSTITUTE(A381,CHAR(10)," ")))</f>
        <v>Zamani Market And Grocery</v>
      </c>
      <c r="J381" s="2" t="str">
        <f>TRIM(CLEAN(SUBSTITUTE(B381,CHAR(10)," ")))</f>
        <v>9440 Louetta Rd</v>
      </c>
      <c r="K381" s="3" t="str">
        <f>PROPER(TRIM(C381))</f>
        <v>Spring</v>
      </c>
      <c r="L381" t="str">
        <f>UPPER(LEFT(TRIM(D381),2))</f>
        <v>TX</v>
      </c>
      <c r="M381" t="str">
        <f>IF(OR(UPPER(E381)="UNITED STATES",UPPER(E381)="UNITED STATES OF AMERICA",UPPER(E381)="US",UPPER(E381)="USA"),"USA",E381)</f>
        <v>USA</v>
      </c>
      <c r="N381" t="str" cm="1">
        <f t="array" ref="N381">_xlfn.REGEXEXTRACT(F381,"\d{5}")</f>
        <v>77379</v>
      </c>
    </row>
    <row r="382" spans="1:14" ht="36" x14ac:dyDescent="0.15">
      <c r="A382" s="2" t="s">
        <v>1083</v>
      </c>
      <c r="B382" s="2" t="s">
        <v>1084</v>
      </c>
      <c r="C382" s="2" t="s">
        <v>736</v>
      </c>
      <c r="D382" s="2" t="s">
        <v>102</v>
      </c>
      <c r="E382" s="2" t="s">
        <v>10</v>
      </c>
      <c r="F382" s="2" t="s">
        <v>1085</v>
      </c>
      <c r="G382" s="2"/>
      <c r="H382" s="2"/>
      <c r="I382" s="2" t="str">
        <f>TRIM(CLEAN(SUBSTITUTE(A382,CHAR(10)," ")))</f>
        <v>Zamani 2 International Market</v>
      </c>
      <c r="J382" s="2" t="str">
        <f>TRIM(CLEAN(SUBSTITUTE(B382,CHAR(10)," ")))</f>
        <v>Riley Fuzzel Road</v>
      </c>
      <c r="K382" s="3" t="str">
        <f>PROPER(TRIM(C382))</f>
        <v>Spring</v>
      </c>
      <c r="L382" t="str">
        <f>UPPER(LEFT(TRIM(D382),2))</f>
        <v>TE</v>
      </c>
      <c r="M382" t="str">
        <f>IF(OR(UPPER(E382)="UNITED STATES",UPPER(E382)="UNITED STATES OF AMERICA",UPPER(E382)="US",UPPER(E382)="USA"),"USA",E382)</f>
        <v>USA</v>
      </c>
      <c r="N382" t="str" cm="1">
        <f t="array" ref="N382">_xlfn.REGEXEXTRACT(F382,"\d{5}")</f>
        <v>77386</v>
      </c>
    </row>
    <row r="383" spans="1:14" ht="36" x14ac:dyDescent="0.15">
      <c r="A383" s="2" t="s">
        <v>865</v>
      </c>
      <c r="B383" s="2" t="s">
        <v>866</v>
      </c>
      <c r="C383" s="2" t="s">
        <v>867</v>
      </c>
      <c r="D383" s="2" t="s">
        <v>20</v>
      </c>
      <c r="E383" s="2" t="s">
        <v>10</v>
      </c>
      <c r="F383" s="2" t="s">
        <v>868</v>
      </c>
      <c r="G383" s="2"/>
      <c r="H383" s="2"/>
      <c r="I383" s="2" t="str">
        <f>TRIM(CLEAN(SUBSTITUTE(A383,CHAR(10)," ")))</f>
        <v>Tuba Ozyalcin</v>
      </c>
      <c r="J383" s="2" t="str">
        <f>TRIM(CLEAN(SUBSTITUTE(B383,CHAR(10)," ")))</f>
        <v>12250 S kirkwood Rd, 1018</v>
      </c>
      <c r="K383" s="3" t="str">
        <f>PROPER(TRIM(C383))</f>
        <v>Stafford</v>
      </c>
      <c r="L383" t="str">
        <f>UPPER(LEFT(TRIM(D383),2))</f>
        <v>TX</v>
      </c>
      <c r="M383" t="str">
        <f>IF(OR(UPPER(E383)="UNITED STATES",UPPER(E383)="UNITED STATES OF AMERICA",UPPER(E383)="US",UPPER(E383)="USA"),"USA",E383)</f>
        <v>USA</v>
      </c>
      <c r="N383" t="str" cm="1">
        <f t="array" ref="N383">_xlfn.REGEXEXTRACT(F383,"\d{5}")</f>
        <v>77477</v>
      </c>
    </row>
    <row r="384" spans="1:14" ht="36" x14ac:dyDescent="0.15">
      <c r="A384" s="2" t="s">
        <v>6</v>
      </c>
      <c r="B384" s="2" t="s">
        <v>7</v>
      </c>
      <c r="C384" s="2" t="s">
        <v>8</v>
      </c>
      <c r="D384" s="2" t="s">
        <v>9</v>
      </c>
      <c r="E384" s="2" t="s">
        <v>10</v>
      </c>
      <c r="F384" s="2" t="s">
        <v>11</v>
      </c>
      <c r="G384" s="2"/>
      <c r="H384" s="2"/>
      <c r="I384" s="2" t="str">
        <f>TRIM(CLEAN(SUBSTITUTE(A384,CHAR(10)," ")))</f>
        <v>101 DISTRIBUTORS GA LLC</v>
      </c>
      <c r="J384" s="2" t="str">
        <f>TRIM(CLEAN(SUBSTITUTE(B384,CHAR(10)," ")))</f>
        <v>4721 Lewis Rd.</v>
      </c>
      <c r="K384" s="3" t="str">
        <f>PROPER(TRIM(C384))</f>
        <v>Stone Mountain</v>
      </c>
      <c r="L384" t="str">
        <f>UPPER(LEFT(TRIM(D384),2))</f>
        <v>GA</v>
      </c>
      <c r="M384" t="str">
        <f>IF(OR(UPPER(E384)="UNITED STATES",UPPER(E384)="UNITED STATES OF AMERICA",UPPER(E384)="US",UPPER(E384)="USA"),"USA",E384)</f>
        <v>USA</v>
      </c>
      <c r="N384" t="str" cm="1">
        <f t="array" ref="N384">_xlfn.REGEXEXTRACT(F384,"\d{5}")</f>
        <v>30083</v>
      </c>
    </row>
    <row r="385" spans="1:14" ht="48" x14ac:dyDescent="0.15">
      <c r="A385" s="2" t="s">
        <v>759</v>
      </c>
      <c r="B385" s="2" t="s">
        <v>760</v>
      </c>
      <c r="C385" s="2" t="s">
        <v>761</v>
      </c>
      <c r="D385" s="2" t="s">
        <v>20</v>
      </c>
      <c r="E385" s="2" t="s">
        <v>10</v>
      </c>
      <c r="F385" s="2" t="s">
        <v>238</v>
      </c>
      <c r="G385" s="2"/>
      <c r="H385" s="2"/>
      <c r="I385" s="2" t="str">
        <f>TRIM(CLEAN(SUBSTITUTE(A385,CHAR(10)," ")))</f>
        <v>Biryani and more</v>
      </c>
      <c r="J385" s="2" t="str">
        <f>TRIM(CLEAN(SUBSTITUTE(B385,CHAR(10)," ")))</f>
        <v>11102 S Texas 6 Ste. #110, Sugar Land, TX</v>
      </c>
      <c r="K385" s="3" t="str">
        <f>PROPER(TRIM(C385))</f>
        <v>Sugar Land</v>
      </c>
      <c r="L385" s="8" t="s">
        <v>20</v>
      </c>
      <c r="M385" t="str">
        <f>IF(OR(UPPER(E385)="UNITED STATES",UPPER(E385)="UNITED STATES OF AMERICA",UPPER(E385)="US",UPPER(E385)="USA"),"USA",E385)</f>
        <v>USA</v>
      </c>
      <c r="N385" t="str" cm="1">
        <f t="array" ref="N385">_xlfn.REGEXEXTRACT(F385,"\d{5}")</f>
        <v>77498</v>
      </c>
    </row>
    <row r="386" spans="1:14" ht="24" x14ac:dyDescent="0.15">
      <c r="A386" s="2" t="s">
        <v>776</v>
      </c>
      <c r="B386" s="2" t="s">
        <v>777</v>
      </c>
      <c r="C386" s="2" t="s">
        <v>778</v>
      </c>
      <c r="D386" s="2" t="s">
        <v>20</v>
      </c>
      <c r="E386" s="2" t="s">
        <v>10</v>
      </c>
      <c r="F386" s="2" t="s">
        <v>238</v>
      </c>
      <c r="G386" s="2"/>
      <c r="H386" s="2"/>
      <c r="I386" s="2"/>
      <c r="J386" s="2"/>
      <c r="K386" s="3"/>
      <c r="L386" s="8"/>
    </row>
    <row r="387" spans="1:14" ht="36" x14ac:dyDescent="0.15">
      <c r="A387" s="2" t="s">
        <v>994</v>
      </c>
      <c r="B387" s="2" t="s">
        <v>995</v>
      </c>
      <c r="C387" s="2" t="s">
        <v>715</v>
      </c>
      <c r="D387" s="2" t="s">
        <v>20</v>
      </c>
      <c r="E387" s="2" t="s">
        <v>10</v>
      </c>
      <c r="F387" s="2" t="s">
        <v>716</v>
      </c>
      <c r="G387" s="2"/>
      <c r="H387" s="2"/>
      <c r="I387" s="2" t="str">
        <f>TRIM(CLEAN(SUBSTITUTE(A387,CHAR(10)," ")))</f>
        <v>LAmour Du Cafe</v>
      </c>
      <c r="J387" s="2" t="str">
        <f>TRIM(CLEAN(SUBSTITUTE(B387,CHAR(10)," ")))</f>
        <v>11929 University Blvd #1g</v>
      </c>
      <c r="K387" s="3" t="str">
        <f>PROPER(TRIM(C387))</f>
        <v>Sugar Land</v>
      </c>
      <c r="L387" t="str">
        <f>UPPER(LEFT(TRIM(D387),2))</f>
        <v>TX</v>
      </c>
      <c r="M387" t="str">
        <f>IF(OR(UPPER(E387)="UNITED STATES",UPPER(E387)="UNITED STATES OF AMERICA",UPPER(E387)="US",UPPER(E387)="USA"),"USA",E387)</f>
        <v>USA</v>
      </c>
      <c r="N387" t="str" cm="1">
        <f t="array" ref="N387">_xlfn.REGEXEXTRACT(F387,"\d{5}")</f>
        <v>77479</v>
      </c>
    </row>
    <row r="388" spans="1:14" ht="60" x14ac:dyDescent="0.15">
      <c r="A388" s="2" t="s">
        <v>974</v>
      </c>
      <c r="B388" s="2" t="s">
        <v>975</v>
      </c>
      <c r="C388" s="2" t="s">
        <v>761</v>
      </c>
      <c r="D388" s="2" t="s">
        <v>20</v>
      </c>
      <c r="E388" s="2" t="s">
        <v>10</v>
      </c>
      <c r="F388" s="2" t="s">
        <v>716</v>
      </c>
      <c r="G388" s="2"/>
      <c r="H388" s="2"/>
      <c r="I388" s="2"/>
      <c r="J388" s="2"/>
      <c r="K388" s="3"/>
    </row>
    <row r="389" spans="1:14" ht="36" x14ac:dyDescent="0.15">
      <c r="A389" s="2" t="s">
        <v>1025</v>
      </c>
      <c r="B389" s="2" t="s">
        <v>1026</v>
      </c>
      <c r="C389" s="2" t="s">
        <v>715</v>
      </c>
      <c r="D389" s="2" t="s">
        <v>20</v>
      </c>
      <c r="E389" s="2" t="s">
        <v>10</v>
      </c>
      <c r="F389" s="2" t="s">
        <v>812</v>
      </c>
      <c r="G389" s="2"/>
      <c r="H389" s="2"/>
      <c r="I389" s="2" t="str">
        <f>TRIM(CLEAN(SUBSTITUTE(A389,CHAR(10)," ")))</f>
        <v>MOOD Coffee</v>
      </c>
      <c r="J389" s="2" t="str">
        <f>TRIM(CLEAN(SUBSTITUTE(B389,CHAR(10)," ")))</f>
        <v>14019 Southwest Fwy #405</v>
      </c>
      <c r="K389" s="3" t="str">
        <f>PROPER(TRIM(C389))</f>
        <v>Sugar Land</v>
      </c>
      <c r="L389" t="str">
        <f>UPPER(LEFT(TRIM(D389),2))</f>
        <v>TX</v>
      </c>
      <c r="M389" t="str">
        <f>IF(OR(UPPER(E389)="UNITED STATES",UPPER(E389)="UNITED STATES OF AMERICA",UPPER(E389)="US",UPPER(E389)="USA"),"USA",E389)</f>
        <v>USA</v>
      </c>
      <c r="N389" t="str" cm="1">
        <f t="array" ref="N389">_xlfn.REGEXEXTRACT(F389,"\d{5}")</f>
        <v>77478</v>
      </c>
    </row>
    <row r="390" spans="1:14" ht="24" x14ac:dyDescent="0.15">
      <c r="A390" s="2" t="s">
        <v>713</v>
      </c>
      <c r="B390" s="2" t="s">
        <v>714</v>
      </c>
      <c r="C390" s="2" t="s">
        <v>715</v>
      </c>
      <c r="D390" s="2" t="s">
        <v>20</v>
      </c>
      <c r="E390" s="2" t="s">
        <v>10</v>
      </c>
      <c r="F390" s="2" t="s">
        <v>716</v>
      </c>
      <c r="G390" s="2"/>
      <c r="H390" s="2"/>
      <c r="I390" s="2" t="str">
        <f>TRIM(CLEAN(SUBSTITUTE(A390,CHAR(10)," ")))</f>
        <v>Grocfy LLC</v>
      </c>
      <c r="J390" s="2" t="str">
        <f>TRIM(CLEAN(SUBSTITUTE(B390,CHAR(10)," ")))</f>
        <v>5630 Whisper Ridge Dr</v>
      </c>
      <c r="K390" s="3" t="str">
        <f>PROPER(TRIM(C390))</f>
        <v>Sugar Land</v>
      </c>
      <c r="L390" t="str">
        <f>UPPER(LEFT(TRIM(D390),2))</f>
        <v>TX</v>
      </c>
      <c r="M390" t="str">
        <f>IF(OR(UPPER(E390)="UNITED STATES",UPPER(E390)="UNITED STATES OF AMERICA",UPPER(E390)="US",UPPER(E390)="USA"),"USA",E390)</f>
        <v>USA</v>
      </c>
      <c r="N390" t="str" cm="1">
        <f t="array" ref="N390">_xlfn.REGEXEXTRACT(F390,"\d{5}")</f>
        <v>77479</v>
      </c>
    </row>
    <row r="391" spans="1:14" ht="24" x14ac:dyDescent="0.15">
      <c r="A391" s="2" t="s">
        <v>965</v>
      </c>
      <c r="B391" s="2" t="s">
        <v>966</v>
      </c>
      <c r="C391" s="2" t="s">
        <v>715</v>
      </c>
      <c r="D391" s="2" t="s">
        <v>20</v>
      </c>
      <c r="E391" s="2" t="s">
        <v>10</v>
      </c>
      <c r="F391" s="2" t="s">
        <v>812</v>
      </c>
      <c r="G391" s="2"/>
      <c r="H391" s="2"/>
      <c r="I391" s="2" t="str">
        <f>TRIM(CLEAN(SUBSTITUTE(A391,CHAR(10)," ")))</f>
        <v>Fadi’s - Sugar Land</v>
      </c>
      <c r="J391" s="2" t="str">
        <f>TRIM(CLEAN(SUBSTITUTE(B391,CHAR(10)," ")))</f>
        <v>716 Hwy 6</v>
      </c>
      <c r="K391" s="3" t="str">
        <f>PROPER(TRIM(C391))</f>
        <v>Sugar Land</v>
      </c>
      <c r="L391" t="str">
        <f>UPPER(LEFT(TRIM(D391),2))</f>
        <v>TX</v>
      </c>
      <c r="M391" t="str">
        <f>IF(OR(UPPER(E391)="UNITED STATES",UPPER(E391)="UNITED STATES OF AMERICA",UPPER(E391)="US",UPPER(E391)="USA"),"USA",E391)</f>
        <v>USA</v>
      </c>
      <c r="N391" t="str" cm="1">
        <f t="array" ref="N391">_xlfn.REGEXEXTRACT(F391,"\d{5}")</f>
        <v>77478</v>
      </c>
    </row>
    <row r="392" spans="1:14" ht="36" x14ac:dyDescent="0.15">
      <c r="A392" s="2" t="s">
        <v>1057</v>
      </c>
      <c r="B392" s="2" t="s">
        <v>1058</v>
      </c>
      <c r="C392" s="2" t="s">
        <v>715</v>
      </c>
      <c r="D392" s="2" t="s">
        <v>102</v>
      </c>
      <c r="E392" s="2" t="s">
        <v>10</v>
      </c>
      <c r="F392" s="2" t="s">
        <v>812</v>
      </c>
      <c r="G392" s="2"/>
      <c r="H392" s="2"/>
      <c r="I392" s="2" t="str">
        <f>TRIM(CLEAN(SUBSTITUTE(A392,CHAR(10)," ")))</f>
        <v>Shaghf Coffe</v>
      </c>
      <c r="J392" s="2" t="str">
        <f>TRIM(CLEAN(SUBSTITUTE(B392,CHAR(10)," ")))</f>
        <v>Promenade Way ste 100,</v>
      </c>
      <c r="K392" s="3" t="str">
        <f>PROPER(TRIM(C392))</f>
        <v>Sugar Land</v>
      </c>
      <c r="L392" t="str">
        <f>UPPER(LEFT(TRIM(D392),2))</f>
        <v>TE</v>
      </c>
      <c r="M392" t="str">
        <f>IF(OR(UPPER(E392)="UNITED STATES",UPPER(E392)="UNITED STATES OF AMERICA",UPPER(E392)="US",UPPER(E392)="USA"),"USA",E392)</f>
        <v>USA</v>
      </c>
      <c r="N392" t="str" cm="1">
        <f t="array" ref="N392">_xlfn.REGEXEXTRACT(F392,"\d{5}")</f>
        <v>77478</v>
      </c>
    </row>
    <row r="393" spans="1:14" ht="84" x14ac:dyDescent="0.15">
      <c r="A393" s="2" t="s">
        <v>757</v>
      </c>
      <c r="B393" s="2" t="s">
        <v>758</v>
      </c>
      <c r="C393" s="2" t="s">
        <v>715</v>
      </c>
      <c r="D393" s="2" t="s">
        <v>20</v>
      </c>
      <c r="E393" s="2" t="s">
        <v>10</v>
      </c>
      <c r="F393" s="2" t="s">
        <v>716</v>
      </c>
      <c r="G393" s="2"/>
      <c r="H393" s="2"/>
      <c r="I393" s="2" t="str">
        <f>TRIM(CLEAN(SUBSTITUTE(A393,CHAR(10)," ")))</f>
        <v>B&amp;B INTERCONTINENTAL INVESTMENT LLC ( ALICE CANDY)</v>
      </c>
      <c r="J393" s="2" t="str">
        <f>TRIM(CLEAN(SUBSTITUTE(B393,CHAR(10)," ")))</f>
        <v>Sugar land first colony mall no:5518</v>
      </c>
      <c r="K393" s="3" t="str">
        <f>PROPER(TRIM(C393))</f>
        <v>Sugar Land</v>
      </c>
      <c r="L393" t="str">
        <f>UPPER(LEFT(TRIM(D393),2))</f>
        <v>TX</v>
      </c>
      <c r="M393" t="str">
        <f>IF(OR(UPPER(E393)="UNITED STATES",UPPER(E393)="UNITED STATES OF AMERICA",UPPER(E393)="US",UPPER(E393)="USA"),"USA",E393)</f>
        <v>USA</v>
      </c>
      <c r="N393" t="str" cm="1">
        <f t="array" ref="N393">_xlfn.REGEXEXTRACT(F393,"\d{5}")</f>
        <v>77479</v>
      </c>
    </row>
    <row r="394" spans="1:14" ht="24" x14ac:dyDescent="0.15">
      <c r="A394" s="2" t="s">
        <v>810</v>
      </c>
      <c r="B394" s="2" t="s">
        <v>811</v>
      </c>
      <c r="C394" s="2" t="s">
        <v>761</v>
      </c>
      <c r="D394" s="2" t="s">
        <v>20</v>
      </c>
      <c r="E394" s="2" t="s">
        <v>10</v>
      </c>
      <c r="F394" s="2" t="s">
        <v>812</v>
      </c>
      <c r="G394" s="2"/>
      <c r="H394" s="2"/>
      <c r="I394" s="2" t="str">
        <f>TRIM(CLEAN(SUBSTITUTE(A394,CHAR(10)," ")))</f>
        <v>HASAN DEMIR</v>
      </c>
      <c r="J394" s="2" t="str">
        <f>TRIM(CLEAN(SUBSTITUTE(B394,CHAR(10)," ")))</f>
        <v>SUGAR LAND TX</v>
      </c>
      <c r="K394" s="3" t="str">
        <f>PROPER(TRIM(C394))</f>
        <v>Sugar Land</v>
      </c>
      <c r="L394" t="str">
        <f>UPPER(LEFT(TRIM(D394),2))</f>
        <v>TX</v>
      </c>
      <c r="M394" t="str">
        <f>IF(OR(UPPER(E394)="UNITED STATES",UPPER(E394)="UNITED STATES OF AMERICA",UPPER(E394)="US",UPPER(E394)="USA"),"USA",E394)</f>
        <v>USA</v>
      </c>
      <c r="N394" t="str" cm="1">
        <f t="array" ref="N394">_xlfn.REGEXEXTRACT(F394,"\d{5}")</f>
        <v>77478</v>
      </c>
    </row>
    <row r="395" spans="1:14" ht="24" x14ac:dyDescent="0.15">
      <c r="A395" s="2" t="s">
        <v>1061</v>
      </c>
      <c r="B395" s="2" t="s">
        <v>1062</v>
      </c>
      <c r="C395" s="2" t="s">
        <v>715</v>
      </c>
      <c r="D395" s="2" t="s">
        <v>102</v>
      </c>
      <c r="E395" s="2" t="s">
        <v>10</v>
      </c>
      <c r="F395" s="2" t="s">
        <v>716</v>
      </c>
      <c r="G395" s="2"/>
      <c r="H395" s="2"/>
      <c r="I395" s="2" t="str">
        <f>TRIM(CLEAN(SUBSTITUTE(A395,CHAR(10)," ")))</f>
        <v>Spice bazaar</v>
      </c>
      <c r="J395" s="2" t="str">
        <f>TRIM(CLEAN(SUBSTITUTE(B395,CHAR(10)," ")))</f>
        <v>University Boulevard</v>
      </c>
      <c r="K395" s="3" t="str">
        <f>PROPER(TRIM(C395))</f>
        <v>Sugar Land</v>
      </c>
      <c r="L395" t="str">
        <f>UPPER(LEFT(TRIM(D395),2))</f>
        <v>TE</v>
      </c>
      <c r="M395" t="str">
        <f>IF(OR(UPPER(E395)="UNITED STATES",UPPER(E395)="UNITED STATES OF AMERICA",UPPER(E395)="US",UPPER(E395)="USA"),"USA",E395)</f>
        <v>USA</v>
      </c>
      <c r="N395" t="str" cm="1">
        <f t="array" ref="N395">_xlfn.REGEXEXTRACT(F395,"\d{5}")</f>
        <v>77479</v>
      </c>
    </row>
    <row r="396" spans="1:14" ht="36" x14ac:dyDescent="0.15">
      <c r="A396" s="2" t="s">
        <v>879</v>
      </c>
      <c r="B396" s="2" t="s">
        <v>880</v>
      </c>
      <c r="C396" s="2" t="s">
        <v>881</v>
      </c>
      <c r="D396" s="2" t="s">
        <v>20</v>
      </c>
      <c r="E396" s="2" t="s">
        <v>10</v>
      </c>
      <c r="F396" s="2" t="s">
        <v>238</v>
      </c>
      <c r="G396" s="2"/>
      <c r="H396" s="2"/>
      <c r="I396" s="2" t="str">
        <f>TRIM(CLEAN(SUBSTITUTE(A396,CHAR(10)," ")))</f>
        <v>Yusuf Osman</v>
      </c>
      <c r="J396" s="2" t="str">
        <f>TRIM(CLEAN(SUBSTITUTE(B396,CHAR(10)," ")))</f>
        <v>10539 SUGARBRIDGE TRL</v>
      </c>
      <c r="K396" s="3" t="str">
        <f>PROPER(TRIM(C396))</f>
        <v>Sugarland</v>
      </c>
      <c r="L396" t="str">
        <f>UPPER(LEFT(TRIM(D396),2))</f>
        <v>TX</v>
      </c>
      <c r="M396" t="str">
        <f>IF(OR(UPPER(E396)="UNITED STATES",UPPER(E396)="UNITED STATES OF AMERICA",UPPER(E396)="US",UPPER(E396)="USA"),"USA",E396)</f>
        <v>USA</v>
      </c>
      <c r="N396" t="str" cm="1">
        <f t="array" ref="N396">_xlfn.REGEXEXTRACT(F396,"\d{5}")</f>
        <v>77498</v>
      </c>
    </row>
    <row r="397" spans="1:14" ht="24" x14ac:dyDescent="0.15">
      <c r="A397" s="2" t="s">
        <v>1334</v>
      </c>
      <c r="B397" s="2" t="s">
        <v>1335</v>
      </c>
      <c r="C397" s="2" t="s">
        <v>1336</v>
      </c>
      <c r="D397" s="2" t="s">
        <v>34</v>
      </c>
      <c r="E397" s="2" t="s">
        <v>10</v>
      </c>
      <c r="F397" s="2" t="s">
        <v>1337</v>
      </c>
      <c r="G397" s="2"/>
      <c r="H397" s="2"/>
      <c r="I397" s="2" t="str">
        <f>TRIM(CLEAN(SUBSTITUTE(A397,CHAR(10)," ")))</f>
        <v>Savia USA</v>
      </c>
      <c r="J397" s="2" t="str">
        <f>TRIM(CLEAN(SUBSTITUTE(B397,CHAR(10)," ")))</f>
        <v>6704 Parke E Blvd</v>
      </c>
      <c r="K397" s="3" t="str">
        <f>PROPER(TRIM(C397))</f>
        <v>Tampa</v>
      </c>
      <c r="L397" s="8" t="s">
        <v>20</v>
      </c>
      <c r="M397" t="str">
        <f>IF(OR(UPPER(E397)="UNITED STATES",UPPER(E397)="UNITED STATES OF AMERICA",UPPER(E397)="US",UPPER(E397)="USA"),"USA",E397)</f>
        <v>USA</v>
      </c>
      <c r="N397" t="str" cm="1">
        <f t="array" ref="N397">_xlfn.REGEXEXTRACT(F397,"\d{5}")</f>
        <v>33610</v>
      </c>
    </row>
    <row r="398" spans="1:14" ht="36" x14ac:dyDescent="0.15">
      <c r="A398" s="2" t="s">
        <v>1049</v>
      </c>
      <c r="B398" s="2" t="s">
        <v>1050</v>
      </c>
      <c r="C398" s="2" t="s">
        <v>1051</v>
      </c>
      <c r="D398" s="2" t="s">
        <v>58</v>
      </c>
      <c r="E398" s="2" t="s">
        <v>10</v>
      </c>
      <c r="F398" s="2" t="s">
        <v>183</v>
      </c>
      <c r="G398" s="2"/>
      <c r="H398" s="2"/>
      <c r="I398" s="2" t="str">
        <f>TRIM(CLEAN(SUBSTITUTE(A398,CHAR(10)," ")))</f>
        <v>Royal Roastery NOLA</v>
      </c>
      <c r="J398" s="2" t="str">
        <f>TRIM(CLEAN(SUBSTITUTE(B398,CHAR(10)," ")))</f>
        <v>1180 Terry Pkwy Ste 103</v>
      </c>
      <c r="K398" s="3" t="str">
        <f>PROPER(TRIM(C398))</f>
        <v>Terrytown</v>
      </c>
      <c r="L398" t="str">
        <f>UPPER(LEFT(TRIM(D398),2))</f>
        <v>LA</v>
      </c>
      <c r="M398" t="str">
        <f>IF(OR(UPPER(E398)="UNITED STATES",UPPER(E398)="UNITED STATES OF AMERICA",UPPER(E398)="US",UPPER(E398)="USA"),"USA",E398)</f>
        <v>USA</v>
      </c>
      <c r="N398" t="str" cm="1">
        <f t="array" ref="N398">_xlfn.REGEXEXTRACT(F398,"\d{5}")</f>
        <v>70056</v>
      </c>
    </row>
    <row r="399" spans="1:14" ht="36" x14ac:dyDescent="0.15">
      <c r="A399" s="2" t="s">
        <v>853</v>
      </c>
      <c r="B399" s="2" t="s">
        <v>854</v>
      </c>
      <c r="C399" s="2" t="s">
        <v>855</v>
      </c>
      <c r="D399" s="2" t="s">
        <v>20</v>
      </c>
      <c r="E399" s="2" t="s">
        <v>10</v>
      </c>
      <c r="F399" s="2" t="s">
        <v>856</v>
      </c>
      <c r="G399" s="2"/>
      <c r="H399" s="2"/>
      <c r="I399" s="2" t="str">
        <f>TRIM(CLEAN(SUBSTITUTE(A399,CHAR(10)," ")))</f>
        <v>SWEET LOQUM ( MGE LLC)</v>
      </c>
      <c r="J399" s="2" t="str">
        <f>TRIM(CLEAN(SUBSTITUTE(B399,CHAR(10)," ")))</f>
        <v>70 n Planchard Circle,</v>
      </c>
      <c r="K399" s="3" t="str">
        <f>PROPER(TRIM(C399))</f>
        <v>The Woodland</v>
      </c>
      <c r="L399" t="str">
        <f>UPPER(LEFT(TRIM(D399),2))</f>
        <v>TX</v>
      </c>
      <c r="M399" t="str">
        <f>IF(OR(UPPER(E399)="UNITED STATES",UPPER(E399)="UNITED STATES OF AMERICA",UPPER(E399)="US",UPPER(E399)="USA"),"USA",E399)</f>
        <v>USA</v>
      </c>
      <c r="N399" t="str" cm="1">
        <f t="array" ref="N399">_xlfn.REGEXEXTRACT(F399,"\d{5}")</f>
        <v>77382</v>
      </c>
    </row>
    <row r="400" spans="1:14" ht="60" x14ac:dyDescent="0.15">
      <c r="A400" s="2" t="s">
        <v>908</v>
      </c>
      <c r="B400" s="2" t="s">
        <v>909</v>
      </c>
      <c r="C400" s="2" t="s">
        <v>910</v>
      </c>
      <c r="D400" s="2" t="s">
        <v>20</v>
      </c>
      <c r="E400" s="2" t="s">
        <v>10</v>
      </c>
      <c r="F400" s="2" t="s">
        <v>911</v>
      </c>
      <c r="G400" s="2"/>
      <c r="H400" s="2"/>
      <c r="I400" s="2" t="str">
        <f>TRIM(CLEAN(SUBSTITUTE(A400,CHAR(10)," ")))</f>
        <v>Babella Food And Catering (LOQUM) Mediterranean grill</v>
      </c>
      <c r="J400" s="2" t="str">
        <f>TRIM(CLEAN(SUBSTITUTE(B400,CHAR(10)," ")))</f>
        <v>3707 College Park Drive Ste 400</v>
      </c>
      <c r="K400" s="3" t="str">
        <f>PROPER(TRIM(C400))</f>
        <v>The Woodlands</v>
      </c>
      <c r="L400" s="8" t="s">
        <v>20</v>
      </c>
      <c r="M400" t="str">
        <f>IF(OR(UPPER(E400)="UNITED STATES",UPPER(E400)="UNITED STATES OF AMERICA",UPPER(E400)="US",UPPER(E400)="USA"),"USA",E400)</f>
        <v>USA</v>
      </c>
      <c r="N400" t="str" cm="1">
        <f t="array" ref="N400">_xlfn.REGEXEXTRACT(F400,"\d{5}")</f>
        <v>77384</v>
      </c>
    </row>
    <row r="401" spans="1:14" ht="36" x14ac:dyDescent="0.15">
      <c r="A401" s="2" t="s">
        <v>832</v>
      </c>
      <c r="B401" s="2" t="s">
        <v>833</v>
      </c>
      <c r="C401" s="2" t="s">
        <v>749</v>
      </c>
      <c r="D401" s="2" t="s">
        <v>20</v>
      </c>
      <c r="E401" s="2" t="s">
        <v>10</v>
      </c>
      <c r="F401" s="2" t="s">
        <v>834</v>
      </c>
      <c r="G401" s="2"/>
      <c r="H401" s="2"/>
      <c r="I401" s="2" t="str">
        <f>TRIM(CLEAN(SUBSTITUTE(A401,CHAR(10)," ")))</f>
        <v>MELIS EGE LLC</v>
      </c>
      <c r="J401" s="2" t="str">
        <f>TRIM(CLEAN(SUBSTITUTE(B401,CHAR(10)," ")))</f>
        <v>18315 Tacoma ridge dr</v>
      </c>
      <c r="K401" s="3" t="str">
        <f>PROPER(TRIM(C401))</f>
        <v>Tomball</v>
      </c>
      <c r="L401" t="str">
        <f>UPPER(LEFT(TRIM(D401),2))</f>
        <v>TX</v>
      </c>
      <c r="M401" t="str">
        <f>IF(OR(UPPER(E401)="UNITED STATES",UPPER(E401)="UNITED STATES OF AMERICA",UPPER(E401)="US",UPPER(E401)="USA"),"USA",E401)</f>
        <v>USA</v>
      </c>
      <c r="N401" t="str" cm="1">
        <f t="array" ref="N401">_xlfn.REGEXEXTRACT(F401,"\d{5}")</f>
        <v>77377</v>
      </c>
    </row>
    <row r="402" spans="1:14" ht="24" x14ac:dyDescent="0.15">
      <c r="A402" s="2" t="s">
        <v>747</v>
      </c>
      <c r="B402" s="2" t="s">
        <v>748</v>
      </c>
      <c r="C402" s="2" t="s">
        <v>749</v>
      </c>
      <c r="D402" s="2" t="s">
        <v>20</v>
      </c>
      <c r="E402" s="2" t="s">
        <v>10</v>
      </c>
      <c r="F402" s="2" t="s">
        <v>750</v>
      </c>
      <c r="G402" s="2"/>
      <c r="H402" s="2"/>
      <c r="I402" s="2" t="str">
        <f>TRIM(CLEAN(SUBSTITUTE(A402,CHAR(10)," ")))</f>
        <v>AREL LLC</v>
      </c>
      <c r="J402" s="2" t="str">
        <f>TRIM(CLEAN(SUBSTITUTE(B402,CHAR(10)," ")))</f>
        <v>9102 Fm 2920 Apt.9108</v>
      </c>
      <c r="K402" s="3" t="str">
        <f>PROPER(TRIM(C402))</f>
        <v>Tomball</v>
      </c>
      <c r="L402" t="str">
        <f>UPPER(LEFT(TRIM(D402),2))</f>
        <v>TX</v>
      </c>
      <c r="M402" t="str">
        <f>IF(OR(UPPER(E402)="UNITED STATES",UPPER(E402)="UNITED STATES OF AMERICA",UPPER(E402)="US",UPPER(E402)="USA"),"USA",E402)</f>
        <v>USA</v>
      </c>
      <c r="N402" t="str" cm="1">
        <f t="array" ref="N402">_xlfn.REGEXEXTRACT(F402,"\d{5}")</f>
        <v>77375</v>
      </c>
    </row>
    <row r="403" spans="1:14" ht="60" x14ac:dyDescent="0.15">
      <c r="A403" s="2" t="s">
        <v>917</v>
      </c>
      <c r="B403" s="2" t="s">
        <v>918</v>
      </c>
      <c r="C403" s="2" t="s">
        <v>749</v>
      </c>
      <c r="D403" s="2" t="s">
        <v>20</v>
      </c>
      <c r="E403" s="2" t="s">
        <v>10</v>
      </c>
      <c r="F403" s="2" t="s">
        <v>750</v>
      </c>
      <c r="G403" s="2"/>
      <c r="H403" s="2"/>
      <c r="I403" s="2" t="str">
        <f>TRIM(CLEAN(SUBSTITUTE(A403,CHAR(10)," ")))</f>
        <v>Barbarossa Coffee (Barbarossa Coffee Roasters)</v>
      </c>
      <c r="J403" s="2" t="str">
        <f>TRIM(CLEAN(SUBSTITUTE(B403,CHAR(10)," ")))</f>
        <v>9166 Farm to Market 2920 Suite 100</v>
      </c>
      <c r="K403" s="3" t="str">
        <f>PROPER(TRIM(C403))</f>
        <v>Tomball</v>
      </c>
      <c r="L403" t="str">
        <f>UPPER(LEFT(TRIM(D403),2))</f>
        <v>TX</v>
      </c>
      <c r="M403" t="str">
        <f>IF(OR(UPPER(E403)="UNITED STATES",UPPER(E403)="UNITED STATES OF AMERICA",UPPER(E403)="US",UPPER(E403)="USA"),"USA",E403)</f>
        <v>USA</v>
      </c>
      <c r="N403" t="str" cm="1">
        <f t="array" ref="N403">_xlfn.REGEXEXTRACT(F403,"\d{5}")</f>
        <v>77375</v>
      </c>
    </row>
    <row r="404" spans="1:14" ht="36" x14ac:dyDescent="0.15">
      <c r="A404" s="2" t="s">
        <v>1365</v>
      </c>
      <c r="B404" s="2" t="s">
        <v>1366</v>
      </c>
      <c r="C404" s="2" t="s">
        <v>1136</v>
      </c>
      <c r="D404" s="2" t="s">
        <v>9</v>
      </c>
      <c r="E404" s="2" t="s">
        <v>10</v>
      </c>
      <c r="F404" s="2" t="s">
        <v>1137</v>
      </c>
      <c r="G404" s="2"/>
      <c r="H404" s="2"/>
      <c r="I404" s="2" t="str">
        <f>TRIM(CLEAN(SUBSTITUTE(A404,CHAR(10)," ")))</f>
        <v>Star importers and wholesalers</v>
      </c>
      <c r="J404" s="2" t="str">
        <f>TRIM(CLEAN(SUBSTITUTE(B404,CHAR(10)," ")))</f>
        <v>2166 mountain industrial blvd</v>
      </c>
      <c r="K404" s="3" t="str">
        <f>PROPER(TRIM(C404))</f>
        <v>Tucker</v>
      </c>
      <c r="L404" t="str">
        <f>UPPER(LEFT(TRIM(D404),2))</f>
        <v>GA</v>
      </c>
      <c r="M404" t="str">
        <f>IF(OR(UPPER(E404)="UNITED STATES",UPPER(E404)="UNITED STATES OF AMERICA",UPPER(E404)="US",UPPER(E404)="USA"),"USA",E404)</f>
        <v>USA</v>
      </c>
      <c r="N404" t="str" cm="1">
        <f t="array" ref="N404">_xlfn.REGEXEXTRACT(F404,"\d{5}")</f>
        <v>30084</v>
      </c>
    </row>
    <row r="405" spans="1:14" ht="36" x14ac:dyDescent="0.15">
      <c r="A405" s="2" t="s">
        <v>1134</v>
      </c>
      <c r="B405" s="2" t="s">
        <v>1135</v>
      </c>
      <c r="C405" s="2" t="s">
        <v>1136</v>
      </c>
      <c r="D405" s="2" t="s">
        <v>9</v>
      </c>
      <c r="E405" s="2" t="s">
        <v>10</v>
      </c>
      <c r="F405" s="2" t="s">
        <v>1137</v>
      </c>
      <c r="G405" s="2"/>
      <c r="H405" s="2"/>
      <c r="I405" s="2" t="str">
        <f>TRIM(CLEAN(SUBSTITUTE(A405,CHAR(10)," ")))</f>
        <v>KKL INTERNATIONAL LLC</v>
      </c>
      <c r="J405" s="2" t="str">
        <f>TRIM(CLEAN(SUBSTITUTE(B405,CHAR(10)," ")))</f>
        <v>5111 S Royal Atlanta Dr Suite 5125</v>
      </c>
      <c r="K405" s="3" t="str">
        <f>PROPER(TRIM(C405))</f>
        <v>Tucker</v>
      </c>
      <c r="L405" t="str">
        <f>UPPER(LEFT(TRIM(D405),2))</f>
        <v>GA</v>
      </c>
      <c r="M405" t="str">
        <f>IF(OR(UPPER(E405)="UNITED STATES",UPPER(E405)="UNITED STATES OF AMERICA",UPPER(E405)="US",UPPER(E405)="USA"),"USA",E405)</f>
        <v>USA</v>
      </c>
      <c r="N405" t="str" cm="1">
        <f t="array" ref="N405">_xlfn.REGEXEXTRACT(F405,"\d{5}")</f>
        <v>30084</v>
      </c>
    </row>
    <row r="406" spans="1:14" ht="36" x14ac:dyDescent="0.15">
      <c r="A406" s="2" t="s">
        <v>1216</v>
      </c>
      <c r="B406" s="2" t="s">
        <v>1217</v>
      </c>
      <c r="C406" s="2" t="s">
        <v>1136</v>
      </c>
      <c r="D406" s="2" t="s">
        <v>9</v>
      </c>
      <c r="E406" s="2" t="s">
        <v>10</v>
      </c>
      <c r="F406" s="2" t="s">
        <v>1137</v>
      </c>
      <c r="G406" s="2"/>
      <c r="H406" s="2"/>
      <c r="I406" s="2" t="str">
        <f>TRIM(CLEAN(SUBSTITUTE(A406,CHAR(10)," ")))</f>
        <v>One Stop Distro LLC</v>
      </c>
      <c r="J406" s="2" t="str">
        <f>TRIM(CLEAN(SUBSTITUTE(B406,CHAR(10)," ")))</f>
        <v>540 Mountain Industrial Blvd, Suite A</v>
      </c>
      <c r="K406" s="3" t="str">
        <f>PROPER(TRIM(C406))</f>
        <v>Tucker</v>
      </c>
      <c r="L406" t="str">
        <f>UPPER(LEFT(TRIM(D406),2))</f>
        <v>GA</v>
      </c>
      <c r="M406" t="str">
        <f>IF(OR(UPPER(E406)="UNITED STATES",UPPER(E406)="UNITED STATES OF AMERICA",UPPER(E406)="US",UPPER(E406)="USA"),"USA",E406)</f>
        <v>USA</v>
      </c>
      <c r="N406" t="str" cm="1">
        <f t="array" ref="N406">_xlfn.REGEXEXTRACT(F406,"\d{5}")</f>
        <v>30084</v>
      </c>
    </row>
    <row r="407" spans="1:14" ht="24" x14ac:dyDescent="0.15">
      <c r="A407" s="2" t="s">
        <v>422</v>
      </c>
      <c r="B407" s="2" t="s">
        <v>423</v>
      </c>
      <c r="C407" s="2" t="s">
        <v>424</v>
      </c>
      <c r="D407" s="2" t="s">
        <v>102</v>
      </c>
      <c r="E407" s="2" t="s">
        <v>10</v>
      </c>
      <c r="F407" s="2" t="s">
        <v>425</v>
      </c>
      <c r="G407" s="2"/>
      <c r="H407" s="2"/>
      <c r="I407" s="2" t="str">
        <f>TRIM(CLEAN(SUBSTITUTE(A407,CHAR(10)," ")))</f>
        <v>Habibi treat's</v>
      </c>
      <c r="J407" s="2" t="str">
        <f>TRIM(CLEAN(SUBSTITUTE(B407,CHAR(10)," ")))</f>
        <v>West Waco Drive</v>
      </c>
      <c r="K407" s="3" t="str">
        <f>PROPER(TRIM(C407))</f>
        <v>Waco</v>
      </c>
      <c r="L407" t="str">
        <f>UPPER(LEFT(TRIM(D407),2))</f>
        <v>TE</v>
      </c>
      <c r="M407" t="str">
        <f>IF(OR(UPPER(E407)="UNITED STATES",UPPER(E407)="UNITED STATES OF AMERICA",UPPER(E407)="US",UPPER(E407)="USA"),"USA",E407)</f>
        <v>USA</v>
      </c>
      <c r="N407" t="str" cm="1">
        <f t="array" ref="N407">_xlfn.REGEXEXTRACT(F407,"\d{5}")</f>
        <v>76710</v>
      </c>
    </row>
    <row r="408" spans="1:14" ht="36" x14ac:dyDescent="0.15">
      <c r="A408" s="2" t="s">
        <v>1390</v>
      </c>
      <c r="B408" s="2" t="s">
        <v>1391</v>
      </c>
      <c r="C408" s="2" t="s">
        <v>1392</v>
      </c>
      <c r="D408" s="2" t="s">
        <v>15</v>
      </c>
      <c r="E408" s="2" t="s">
        <v>10</v>
      </c>
      <c r="F408" s="2" t="s">
        <v>1393</v>
      </c>
      <c r="G408" s="2"/>
      <c r="H408" s="2"/>
      <c r="I408" s="2" t="str">
        <f>TRIM(CLEAN(SUBSTITUTE(A408,CHAR(10)," ")))</f>
        <v>Zamzam restaurant</v>
      </c>
      <c r="J408" s="2" t="str">
        <f>TRIM(CLEAN(SUBSTITUTE(B408,CHAR(10)," ")))</f>
        <v>3913 n macarthur bvd</v>
      </c>
      <c r="K408" s="3" t="str">
        <f>PROPER(TRIM(C408))</f>
        <v>War Acres</v>
      </c>
      <c r="L408" t="str">
        <f>UPPER(LEFT(TRIM(D408),2))</f>
        <v>TX</v>
      </c>
      <c r="M408" t="str">
        <f>IF(OR(UPPER(E408)="UNITED STATES",UPPER(E408)="UNITED STATES OF AMERICA",UPPER(E408)="US",UPPER(E408)="USA"),"USA",E408)</f>
        <v>USA</v>
      </c>
      <c r="N408" t="str" cm="1">
        <f t="array" ref="N408">_xlfn.REGEXEXTRACT(F408,"\d{5}")</f>
        <v>73122</v>
      </c>
    </row>
    <row r="409" spans="1:14" ht="36" x14ac:dyDescent="0.15">
      <c r="A409" s="2" t="s">
        <v>1175</v>
      </c>
      <c r="B409" s="2" t="s">
        <v>1176</v>
      </c>
      <c r="C409" s="2" t="s">
        <v>1177</v>
      </c>
      <c r="D409" s="2" t="s">
        <v>187</v>
      </c>
      <c r="E409" s="2" t="s">
        <v>10</v>
      </c>
      <c r="F409" s="2"/>
      <c r="G409" s="2"/>
      <c r="H409" s="2"/>
      <c r="I409" s="2" t="str">
        <f>TRIM(CLEAN(SUBSTITUTE(A409,CHAR(10)," ")))</f>
        <v>MedMart LLC</v>
      </c>
      <c r="J409" s="2" t="str">
        <f>TRIM(CLEAN(SUBSTITUTE(B409,CHAR(10)," ")))</f>
        <v>3925 North MacArthur blvd</v>
      </c>
      <c r="K409" s="3" t="str">
        <f>PROPER(TRIM(C409))</f>
        <v>Warr Acres</v>
      </c>
      <c r="L409" t="str">
        <f>UPPER(LEFT(TRIM(D409),2))</f>
        <v>OK</v>
      </c>
      <c r="M409" t="str">
        <f>IF(OR(UPPER(E409)="UNITED STATES",UPPER(E409)="UNITED STATES OF AMERICA",UPPER(E409)="US",UPPER(E409)="USA"),"USA",E409)</f>
        <v>USA</v>
      </c>
      <c r="N409" t="e" cm="1" vm="1">
        <f t="array" ref="N409">_xlfn.REGEXEXTRACT(F409,"\d{5}")</f>
        <v>#N/A</v>
      </c>
    </row>
    <row r="410" spans="1:14" ht="48" x14ac:dyDescent="0.15">
      <c r="A410" s="2" t="s">
        <v>358</v>
      </c>
      <c r="B410" s="2" t="s">
        <v>359</v>
      </c>
      <c r="C410" s="2" t="s">
        <v>360</v>
      </c>
      <c r="D410" s="2" t="s">
        <v>187</v>
      </c>
      <c r="E410" s="2" t="s">
        <v>10</v>
      </c>
      <c r="F410" s="2" t="s">
        <v>361</v>
      </c>
      <c r="G410" s="2"/>
      <c r="H410" s="2"/>
      <c r="I410" s="2" t="str">
        <f>TRIM(CLEAN(SUBSTITUTE(A410,CHAR(10)," ")))</f>
        <v>Dove Charter Public School Foundation</v>
      </c>
      <c r="J410" s="2" t="str">
        <f>TRIM(CLEAN(SUBSTITUTE(B410,CHAR(10)," ")))</f>
        <v>5601 Northwest Expy Ste: 500</v>
      </c>
      <c r="K410" s="3" t="str">
        <f>PROPER(TRIM(C410))</f>
        <v>Warr Acres</v>
      </c>
      <c r="L410" t="str">
        <f>UPPER(LEFT(TRIM(D410),2))</f>
        <v>OK</v>
      </c>
      <c r="M410" t="str">
        <f>IF(OR(UPPER(E410)="UNITED STATES",UPPER(E410)="UNITED STATES OF AMERICA",UPPER(E410)="US",UPPER(E410)="USA"),"USA",E410)</f>
        <v>USA</v>
      </c>
      <c r="N410" t="str" cm="1">
        <f t="array" ref="N410">_xlfn.REGEXEXTRACT(F410,"\d{5}")</f>
        <v>73132</v>
      </c>
    </row>
    <row r="411" spans="1:14" ht="36" x14ac:dyDescent="0.15">
      <c r="A411" s="2" t="s">
        <v>514</v>
      </c>
      <c r="B411" s="2" t="s">
        <v>515</v>
      </c>
      <c r="C411" s="2" t="s">
        <v>516</v>
      </c>
      <c r="D411" s="2" t="s">
        <v>20</v>
      </c>
      <c r="E411" s="2" t="s">
        <v>10</v>
      </c>
      <c r="F411" s="2" t="s">
        <v>357</v>
      </c>
      <c r="G411" s="2"/>
      <c r="H411" s="2"/>
      <c r="I411" s="2" t="str">
        <f>TRIM(CLEAN(SUBSTITUTE(A411,CHAR(10)," ")))</f>
        <v>MAVES LLC</v>
      </c>
      <c r="J411" s="2" t="str">
        <f>TRIM(CLEAN(SUBSTITUTE(B411,CHAR(10)," ")))</f>
        <v>315 Cornerstone Drive</v>
      </c>
      <c r="K411" s="3" t="str">
        <f>PROPER(TRIM(C411))</f>
        <v>Waylie</v>
      </c>
      <c r="L411" t="str">
        <f>UPPER(LEFT(TRIM(D411),2))</f>
        <v>TX</v>
      </c>
      <c r="M411" t="str">
        <f>IF(OR(UPPER(E411)="UNITED STATES",UPPER(E411)="UNITED STATES OF AMERICA",UPPER(E411)="US",UPPER(E411)="USA"),"USA",E411)</f>
        <v>USA</v>
      </c>
      <c r="N411" t="str" cm="1">
        <f t="array" ref="N411">_xlfn.REGEXEXTRACT(F411,"\d{5}")</f>
        <v>75098</v>
      </c>
    </row>
    <row r="412" spans="1:14" ht="36" x14ac:dyDescent="0.15">
      <c r="A412" s="2" t="s">
        <v>934</v>
      </c>
      <c r="B412" s="2" t="s">
        <v>935</v>
      </c>
      <c r="C412" s="2" t="s">
        <v>936</v>
      </c>
      <c r="D412" s="2" t="s">
        <v>20</v>
      </c>
      <c r="E412" s="2" t="s">
        <v>10</v>
      </c>
      <c r="F412" s="2" t="s">
        <v>937</v>
      </c>
      <c r="G412" s="2"/>
      <c r="H412" s="2"/>
      <c r="I412" s="2" t="str">
        <f>TRIM(CLEAN(SUBSTITUTE(A412,CHAR(10)," ")))</f>
        <v>Bismillah Grocer &amp; Halal Meat</v>
      </c>
      <c r="J412" s="2" t="str">
        <f>TRIM(CLEAN(SUBSTITUTE(B412,CHAR(10)," ")))</f>
        <v>15106 state Hwy 3</v>
      </c>
      <c r="K412" s="3" t="str">
        <f>PROPER(TRIM(C412))</f>
        <v>Webster</v>
      </c>
      <c r="L412" s="8" t="s">
        <v>20</v>
      </c>
      <c r="M412" t="str">
        <f>IF(OR(UPPER(E412)="UNITED STATES",UPPER(E412)="UNITED STATES OF AMERICA",UPPER(E412)="US",UPPER(E412)="USA"),"USA",E412)</f>
        <v>USA</v>
      </c>
      <c r="N412" t="str" cm="1">
        <f t="array" ref="N412">_xlfn.REGEXEXTRACT(F412,"\d{5}")</f>
        <v>77598</v>
      </c>
    </row>
    <row r="413" spans="1:14" ht="36" x14ac:dyDescent="0.15">
      <c r="A413" s="2" t="s">
        <v>1202</v>
      </c>
      <c r="B413" s="2" t="s">
        <v>1203</v>
      </c>
      <c r="C413" s="2" t="s">
        <v>1204</v>
      </c>
      <c r="D413" s="2" t="s">
        <v>34</v>
      </c>
      <c r="E413" s="2" t="s">
        <v>10</v>
      </c>
      <c r="F413" s="2" t="s">
        <v>1205</v>
      </c>
      <c r="G413" s="2"/>
      <c r="H413" s="2"/>
      <c r="I413" s="2" t="str">
        <f>TRIM(CLEAN(SUBSTITUTE(A413,CHAR(10)," ")))</f>
        <v>NEPA WHOLESALE</v>
      </c>
      <c r="J413" s="2" t="str">
        <f>TRIM(CLEAN(SUBSTITUTE(B413,CHAR(10)," ")))</f>
        <v>3220 45th St west Palm Beach , FL</v>
      </c>
      <c r="K413" s="3" t="str">
        <f>PROPER(TRIM(C413))</f>
        <v>West Palm Beach</v>
      </c>
      <c r="L413" t="str">
        <f>UPPER(LEFT(TRIM(D413),2))</f>
        <v>FL</v>
      </c>
      <c r="M413" t="str">
        <f>IF(OR(UPPER(E413)="UNITED STATES",UPPER(E413)="UNITED STATES OF AMERICA",UPPER(E413)="US",UPPER(E413)="USA"),"USA",E413)</f>
        <v>USA</v>
      </c>
      <c r="N413" t="str" cm="1">
        <f t="array" ref="N413">_xlfn.REGEXEXTRACT(F413,"\d{5}")</f>
        <v>33407</v>
      </c>
    </row>
    <row r="414" spans="1:14" ht="24" x14ac:dyDescent="0.15">
      <c r="A414" s="2"/>
      <c r="B414" s="2" t="s">
        <v>1238</v>
      </c>
      <c r="C414" s="2" t="s">
        <v>1239</v>
      </c>
      <c r="D414" s="2" t="s">
        <v>20</v>
      </c>
      <c r="E414" s="2"/>
      <c r="F414" s="2" t="s">
        <v>1240</v>
      </c>
      <c r="G414" s="2"/>
      <c r="H414" s="2"/>
      <c r="I414" s="2" t="str">
        <f>TRIM(CLEAN(SUBSTITUTE(A414,CHAR(10)," ")))</f>
        <v/>
      </c>
      <c r="J414" s="2" t="str">
        <f>TRIM(CLEAN(SUBSTITUTE(B414,CHAR(10)," ")))</f>
        <v>3650 West Fm 1161 Rd</v>
      </c>
      <c r="K414" s="3" t="str">
        <f>PROPER(TRIM(C414))</f>
        <v>Wharton</v>
      </c>
      <c r="L414" t="str">
        <f>UPPER(LEFT(TRIM(D414),2))</f>
        <v>TX</v>
      </c>
      <c r="M414">
        <f>IF(OR(UPPER(E414)="UNITED STATES",UPPER(E414)="UNITED STATES OF AMERICA",UPPER(E414)="US",UPPER(E414)="USA"),"USA",E414)</f>
        <v>0</v>
      </c>
      <c r="N414" t="str" cm="1">
        <f t="array" ref="N414">_xlfn.REGEXEXTRACT(F414,"\d{5}")</f>
        <v>77488</v>
      </c>
    </row>
    <row r="415" spans="1:14" ht="24" x14ac:dyDescent="0.15">
      <c r="A415" s="2" t="s">
        <v>631</v>
      </c>
      <c r="B415" s="2" t="s">
        <v>632</v>
      </c>
      <c r="C415" s="2" t="s">
        <v>629</v>
      </c>
      <c r="D415" s="2" t="s">
        <v>20</v>
      </c>
      <c r="E415" s="2" t="s">
        <v>10</v>
      </c>
      <c r="F415" s="2" t="s">
        <v>357</v>
      </c>
      <c r="G415" s="2"/>
      <c r="H415" s="2"/>
      <c r="I415" s="2" t="str">
        <f>TRIM(CLEAN(SUBSTITUTE(A415,CHAR(10)," ")))</f>
        <v>Tiles Workshop Llc</v>
      </c>
      <c r="J415" s="2" t="str">
        <f>TRIM(CLEAN(SUBSTITUTE(B415,CHAR(10)," ")))</f>
        <v>109 Dove Haven Dr.</v>
      </c>
      <c r="K415" s="3" t="str">
        <f>PROPER(TRIM(C415))</f>
        <v>Wylie</v>
      </c>
      <c r="L415" t="str">
        <f>UPPER(LEFT(TRIM(D415),2))</f>
        <v>TX</v>
      </c>
      <c r="M415" t="str">
        <f>IF(OR(UPPER(E415)="UNITED STATES",UPPER(E415)="UNITED STATES OF AMERICA",UPPER(E415)="US",UPPER(E415)="USA"),"USA",E415)</f>
        <v>USA</v>
      </c>
      <c r="N415" t="str" cm="1">
        <f t="array" ref="N415">_xlfn.REGEXEXTRACT(F415,"\d{5}")</f>
        <v>75098</v>
      </c>
    </row>
    <row r="416" spans="1:14" ht="36" x14ac:dyDescent="0.15">
      <c r="A416" s="2" t="s">
        <v>627</v>
      </c>
      <c r="B416" s="2" t="s">
        <v>628</v>
      </c>
      <c r="C416" s="2" t="s">
        <v>629</v>
      </c>
      <c r="D416" s="2" t="s">
        <v>630</v>
      </c>
      <c r="E416" s="2" t="s">
        <v>10</v>
      </c>
      <c r="F416" s="2" t="s">
        <v>357</v>
      </c>
      <c r="G416" s="2"/>
      <c r="H416" s="2"/>
      <c r="I416" s="2" t="str">
        <f>TRIM(CLEAN(SUBSTITUTE(A416,CHAR(10)," ")))</f>
        <v>Tiles Workshop - San Antonio</v>
      </c>
      <c r="J416" s="2" t="str">
        <f>TRIM(CLEAN(SUBSTITUTE(B416,CHAR(10)," ")))</f>
        <v>109 Dove Haven Drive</v>
      </c>
      <c r="K416" s="3" t="str">
        <f>PROPER(TRIM(C416))</f>
        <v>Wylie</v>
      </c>
      <c r="L416" t="str">
        <f>UPPER(LEFT(TRIM(D416),2))</f>
        <v>OH</v>
      </c>
      <c r="M416" t="str">
        <f>IF(OR(UPPER(E416)="UNITED STATES",UPPER(E416)="UNITED STATES OF AMERICA",UPPER(E416)="US",UPPER(E416)="USA"),"USA",E416)</f>
        <v>USA</v>
      </c>
      <c r="N416" t="str" cm="1">
        <f t="array" ref="N416">_xlfn.REGEXEXTRACT(F416,"\d{5}")</f>
        <v>75098</v>
      </c>
    </row>
    <row r="417" spans="1:14" ht="24" x14ac:dyDescent="0.15">
      <c r="A417" s="5" t="s">
        <v>354</v>
      </c>
      <c r="B417" s="5" t="s">
        <v>355</v>
      </c>
      <c r="C417" s="5" t="s">
        <v>356</v>
      </c>
      <c r="D417" s="5" t="s">
        <v>15</v>
      </c>
      <c r="E417" s="5" t="s">
        <v>10</v>
      </c>
      <c r="F417" s="5" t="s">
        <v>357</v>
      </c>
      <c r="G417" s="2"/>
      <c r="H417" s="2"/>
      <c r="I417" s="2" t="str">
        <f>TRIM(CLEAN(SUBSTITUTE(A417,CHAR(10)," ")))</f>
        <v>Donerci</v>
      </c>
      <c r="J417" s="2" t="str">
        <f>TRIM(CLEAN(SUBSTITUTE(B417,CHAR(10)," ")))</f>
        <v>300 dominion dr</v>
      </c>
      <c r="K417" s="3" t="str">
        <f>PROPER(TRIM(C417))</f>
        <v>Wylie</v>
      </c>
      <c r="L417" t="str">
        <f>UPPER(LEFT(TRIM(D417),2))</f>
        <v>TX</v>
      </c>
      <c r="M417" t="str">
        <f>IF(OR(UPPER(E417)="UNITED STATES",UPPER(E417)="UNITED STATES OF AMERICA",UPPER(E417)="US",UPPER(E417)="USA"),"USA",E417)</f>
        <v>USA</v>
      </c>
      <c r="N417" t="str" cm="1">
        <f t="array" ref="N417">_xlfn.REGEXEXTRACT(F417,"\d{5}")</f>
        <v>75098</v>
      </c>
    </row>
    <row r="418" spans="1:14" x14ac:dyDescent="0.15">
      <c r="A418" s="2"/>
      <c r="B418" s="2"/>
      <c r="C418" s="2"/>
      <c r="D418" s="2"/>
      <c r="E418" s="2"/>
      <c r="F418" s="2"/>
      <c r="G418" s="2"/>
      <c r="H418" s="2"/>
      <c r="I418" s="2" t="str">
        <f>TRIM(CLEAN(SUBSTITUTE(A418,CHAR(10)," ")))</f>
        <v/>
      </c>
      <c r="J418" s="2" t="str">
        <f>TRIM(CLEAN(SUBSTITUTE(B418,CHAR(10)," ")))</f>
        <v/>
      </c>
      <c r="K418" s="3" t="str">
        <f>PROPER(TRIM(C418))</f>
        <v/>
      </c>
      <c r="L418" t="str">
        <f>UPPER(LEFT(TRIM(D418),2))</f>
        <v/>
      </c>
      <c r="M418">
        <f>IF(OR(UPPER(E418)="UNITED STATES",UPPER(E418)="UNITED STATES OF AMERICA",UPPER(E418)="US",UPPER(E418)="USA"),"USA",E418)</f>
        <v>0</v>
      </c>
      <c r="N418" t="e" cm="1" vm="1">
        <f t="array" ref="N418">_xlfn.REGEXEXTRACT(F418,"\d{5}")</f>
        <v>#N/A</v>
      </c>
    </row>
    <row r="419" spans="1:14" x14ac:dyDescent="0.15">
      <c r="A419" s="2"/>
      <c r="B419" s="2"/>
      <c r="C419" s="2"/>
      <c r="D419" s="2"/>
      <c r="E419" s="2"/>
      <c r="F419" s="2"/>
      <c r="G419" s="2"/>
      <c r="H419" s="2"/>
      <c r="I419" s="2" t="str">
        <f>TRIM(CLEAN(SUBSTITUTE(A419,CHAR(10)," ")))</f>
        <v/>
      </c>
      <c r="J419" s="2" t="str">
        <f>TRIM(CLEAN(SUBSTITUTE(B419,CHAR(10)," ")))</f>
        <v/>
      </c>
      <c r="K419" s="3" t="str">
        <f>PROPER(TRIM(C419))</f>
        <v/>
      </c>
      <c r="L419" t="str">
        <f>UPPER(LEFT(TRIM(D419),2))</f>
        <v/>
      </c>
      <c r="M419">
        <f>IF(OR(UPPER(E419)="UNITED STATES",UPPER(E419)="UNITED STATES OF AMERICA",UPPER(E419)="US",UPPER(E419)="USA"),"USA",E419)</f>
        <v>0</v>
      </c>
      <c r="N419" t="e" cm="1" vm="1">
        <f t="array" ref="N419">_xlfn.REGEXEXTRACT(F419,"\d{5}")</f>
        <v>#N/A</v>
      </c>
    </row>
    <row r="420" spans="1:14" x14ac:dyDescent="0.15">
      <c r="A420" s="2"/>
      <c r="B420" s="2"/>
      <c r="C420" s="2"/>
      <c r="D420" s="2"/>
      <c r="E420" s="2"/>
      <c r="F420" s="2"/>
      <c r="G420" s="2"/>
      <c r="H420" s="2"/>
      <c r="I420" s="2" t="str">
        <f>TRIM(CLEAN(SUBSTITUTE(A420,CHAR(10)," ")))</f>
        <v/>
      </c>
      <c r="J420" s="2" t="str">
        <f>TRIM(CLEAN(SUBSTITUTE(B420,CHAR(10)," ")))</f>
        <v/>
      </c>
      <c r="K420" s="3" t="str">
        <f>PROPER(TRIM(C420))</f>
        <v/>
      </c>
      <c r="L420" t="str">
        <f>UPPER(LEFT(TRIM(D420),2))</f>
        <v/>
      </c>
      <c r="M420">
        <f>IF(OR(UPPER(E420)="UNITED STATES",UPPER(E420)="UNITED STATES OF AMERICA",UPPER(E420)="US",UPPER(E420)="USA"),"USA",E420)</f>
        <v>0</v>
      </c>
      <c r="N420" t="e" cm="1" vm="1">
        <f t="array" ref="N420">_xlfn.REGEXEXTRACT(F420,"\d{5}")</f>
        <v>#N/A</v>
      </c>
    </row>
    <row r="421" spans="1:14" x14ac:dyDescent="0.15">
      <c r="A421" s="2"/>
      <c r="B421" s="2"/>
      <c r="C421" s="2"/>
      <c r="D421" s="2"/>
      <c r="E421" s="2"/>
      <c r="F421" s="2"/>
      <c r="G421" s="2"/>
      <c r="H421" s="2"/>
      <c r="I421" s="2" t="str">
        <f>TRIM(CLEAN(SUBSTITUTE(A421,CHAR(10)," ")))</f>
        <v/>
      </c>
      <c r="J421" s="2" t="str">
        <f>TRIM(CLEAN(SUBSTITUTE(B421,CHAR(10)," ")))</f>
        <v/>
      </c>
      <c r="K421" s="3" t="str">
        <f>PROPER(TRIM(C421))</f>
        <v/>
      </c>
      <c r="L421" t="str">
        <f>UPPER(LEFT(TRIM(D421),2))</f>
        <v/>
      </c>
      <c r="M421">
        <f>IF(OR(UPPER(E421)="UNITED STATES",UPPER(E421)="UNITED STATES OF AMERICA",UPPER(E421)="US",UPPER(E421)="USA"),"USA",E421)</f>
        <v>0</v>
      </c>
      <c r="N421" t="e" cm="1" vm="1">
        <f t="array" ref="N421">_xlfn.REGEXEXTRACT(F421,"\d{5}")</f>
        <v>#N/A</v>
      </c>
    </row>
    <row r="422" spans="1:14" x14ac:dyDescent="0.15">
      <c r="A422" s="2"/>
      <c r="B422" s="2"/>
      <c r="C422" s="2"/>
      <c r="D422" s="2"/>
      <c r="E422" s="2"/>
      <c r="F422" s="2"/>
      <c r="G422" s="5"/>
      <c r="H422" s="5"/>
      <c r="I422" s="5" t="str">
        <f>TRIM(CLEAN(SUBSTITUTE(A422,CHAR(10)," ")))</f>
        <v/>
      </c>
      <c r="J422" s="5" t="str">
        <f>TRIM(CLEAN(SUBSTITUTE(B422,CHAR(10)," ")))</f>
        <v/>
      </c>
      <c r="K422" s="6" t="str">
        <f>PROPER(TRIM(C422))</f>
        <v/>
      </c>
      <c r="L422" s="7" t="str">
        <f>UPPER(LEFT(TRIM(D422),2))</f>
        <v/>
      </c>
      <c r="M422" s="7">
        <f>IF(OR(UPPER(E422)="UNITED STATES",UPPER(E422)="UNITED STATES OF AMERICA",UPPER(E422)="US",UPPER(E422)="USA"),"USA",E422)</f>
        <v>0</v>
      </c>
      <c r="N422" s="7" t="e" cm="1" vm="1">
        <f t="array" ref="N422">_xlfn.REGEXEXTRACT(F422,"\d{5}")</f>
        <v>#N/A</v>
      </c>
    </row>
    <row r="423" spans="1:14" ht="48" x14ac:dyDescent="0.15">
      <c r="A423" s="2" t="s">
        <v>1214</v>
      </c>
      <c r="B423" s="2" t="s">
        <v>1215</v>
      </c>
      <c r="C423" s="2"/>
      <c r="D423" s="2"/>
      <c r="E423" s="2"/>
      <c r="F423" s="2"/>
      <c r="G423" s="2"/>
      <c r="H423" s="2"/>
      <c r="I423" s="2" t="str">
        <f>TRIM(CLEAN(SUBSTITUTE(A423,CHAR(10)," ")))</f>
        <v>Nur’s Kitchen</v>
      </c>
      <c r="J423" s="2" t="str">
        <f>TRIM(_xlfn.REGEXREPLACE(B423,",\s*[^,]+,\s*[A-Za-z]{2}\s*\d{5}",""))</f>
        <v>100 S Tyler St STE 9A</v>
      </c>
      <c r="K423" s="3" t="str" cm="1">
        <f t="array" ref="K423">PROPER(TRIM(_xlfn.REGEXEXTRACT(B423,",\s*([^,]+),\s*[A-Za-z]{2}\s*\d{5}")))</f>
        <v>, Covington, La 70433</v>
      </c>
      <c r="L423" t="str" cm="1">
        <f t="array" ref="L423">UPPER(_xlfn.REGEXEXTRACT(B423,",\s*([A-Za-z]{2})\s*\d{5}"))</f>
        <v>, LA 70433</v>
      </c>
      <c r="M423">
        <f>IF(OR(UPPER(E423)="UNITED STATES",UPPER(E423)="UNITED STATES OF AMERICA",UPPER(E423)="US",UPPER(E423)="USA"),"USA",E423)</f>
        <v>0</v>
      </c>
      <c r="N423" t="e" cm="1" vm="1">
        <f t="array" ref="N423">_xlfn.REGEXEXTRACT(F423,"\d{5}")</f>
        <v>#N/A</v>
      </c>
    </row>
    <row r="424" spans="1:14" ht="48" x14ac:dyDescent="0.15">
      <c r="A424" s="2" t="s">
        <v>1223</v>
      </c>
      <c r="B424" s="2" t="s">
        <v>1224</v>
      </c>
      <c r="C424" s="2"/>
      <c r="D424" s="2"/>
      <c r="E424" s="2"/>
      <c r="F424" s="2"/>
      <c r="G424" s="2"/>
      <c r="H424" s="2"/>
      <c r="I424" s="2" t="str">
        <f>TRIM(CLEAN(SUBSTITUTE(A424,CHAR(10)," ")))</f>
        <v>PATEL BROTHERS ROCHELLE</v>
      </c>
      <c r="J424" s="2" t="str">
        <f>TRIM(_xlfn.REGEXREPLACE(B424,",\s*[^,]+,\s*[A-Za-z]{2}\s*\d{5}",""))</f>
        <v>1009 W Rochelle Rd</v>
      </c>
      <c r="K424" s="10" t="s">
        <v>177</v>
      </c>
      <c r="L424" s="8" t="s">
        <v>20</v>
      </c>
      <c r="M424">
        <f>IF(OR(UPPER(E424)="UNITED STATES",UPPER(E424)="UNITED STATES OF AMERICA",UPPER(E424)="US",UPPER(E424)="USA"),"USA",E424)</f>
        <v>0</v>
      </c>
      <c r="N424" t="e" cm="1" vm="1">
        <f t="array" ref="N424">_xlfn.REGEXEXTRACT(F424,"\d{5}")</f>
        <v>#N/A</v>
      </c>
    </row>
    <row r="425" spans="1:14" ht="48" x14ac:dyDescent="0.15">
      <c r="A425" s="2" t="s">
        <v>377</v>
      </c>
      <c r="B425" s="2" t="s">
        <v>378</v>
      </c>
      <c r="C425" s="2"/>
      <c r="D425" s="2"/>
      <c r="E425" s="2" t="s">
        <v>10</v>
      </c>
      <c r="F425" s="2"/>
      <c r="G425" s="2"/>
      <c r="H425" s="2"/>
      <c r="I425" s="2" t="str">
        <f>TRIM(CLEAN(SUBSTITUTE(A425,CHAR(10)," ")))</f>
        <v>Ephesus Mediterranean Grill</v>
      </c>
      <c r="J425" s="2" t="str">
        <f>TRIM(_xlfn.REGEXREPLACE(B425,",\s*[^,]+,\s*[A-Za-z]{2}\s*\d{5}",""))</f>
        <v>10455 N Central Expy #118</v>
      </c>
      <c r="K425" s="10" t="s">
        <v>201</v>
      </c>
      <c r="L425" s="8" t="s">
        <v>20</v>
      </c>
      <c r="M425" t="str">
        <f>IF(OR(UPPER(E425)="UNITED STATES",UPPER(E425)="UNITED STATES OF AMERICA",UPPER(E425)="US",UPPER(E425)="USA"),"USA",E425)</f>
        <v>USA</v>
      </c>
      <c r="N425" t="e" cm="1" vm="1">
        <f t="array" ref="N425">_xlfn.REGEXEXTRACT(F425,"\d{5}")</f>
        <v>#N/A</v>
      </c>
    </row>
    <row r="426" spans="1:14" ht="60" x14ac:dyDescent="0.15">
      <c r="A426" s="2" t="s">
        <v>370</v>
      </c>
      <c r="B426" s="2" t="s">
        <v>371</v>
      </c>
      <c r="C426" s="2"/>
      <c r="D426" s="2"/>
      <c r="E426" s="2" t="s">
        <v>10</v>
      </c>
      <c r="F426" s="2" t="s">
        <v>372</v>
      </c>
      <c r="G426" s="2"/>
      <c r="H426" s="2"/>
      <c r="I426" s="2" t="str">
        <f>TRIM(CLEAN(SUBSTITUTE(A426,CHAR(10)," ")))</f>
        <v>ELEVENKEY LLC</v>
      </c>
      <c r="J426" s="2" t="str">
        <f>TRIM(_xlfn.REGEXREPLACE(B426,",\s*[^,]+,\s*[A-Za-z]{2}\s*\d{5}",""))</f>
        <v>1108 N Greenville Avenue suite#135 Allen,TX</v>
      </c>
      <c r="K426" s="10" t="s">
        <v>418</v>
      </c>
      <c r="L426" s="8" t="s">
        <v>20</v>
      </c>
      <c r="M426" t="str">
        <f>IF(OR(UPPER(E426)="UNITED STATES",UPPER(E426)="UNITED STATES OF AMERICA",UPPER(E426)="US",UPPER(E426)="USA"),"USA",E426)</f>
        <v>USA</v>
      </c>
      <c r="N426" t="str" cm="1">
        <f t="array" ref="N426">_xlfn.REGEXEXTRACT(F426,"\d{5}")</f>
        <v>75002</v>
      </c>
    </row>
    <row r="427" spans="1:14" ht="48" x14ac:dyDescent="0.15">
      <c r="A427" s="2" t="s">
        <v>1180</v>
      </c>
      <c r="B427" s="2" t="s">
        <v>1181</v>
      </c>
      <c r="C427" s="2"/>
      <c r="D427" s="2"/>
      <c r="E427" s="2"/>
      <c r="F427" s="2"/>
      <c r="G427" s="2"/>
      <c r="H427" s="2"/>
      <c r="I427" s="2" t="str">
        <f>TRIM(CLEAN(SUBSTITUTE(A427,CHAR(10)," ")))</f>
        <v>MML GROUP LLC Two Brothers Halal Market</v>
      </c>
      <c r="J427" s="2" t="str">
        <f>TRIM(_xlfn.REGEXREPLACE(B427,",\s*[^,]+,\s*[A-Za-z]{2}\s*\d{5}",""))</f>
        <v>1109 Conrad Sauer Dr</v>
      </c>
      <c r="K427" s="10" t="s">
        <v>29</v>
      </c>
      <c r="L427" s="8" t="s">
        <v>20</v>
      </c>
      <c r="M427">
        <f>IF(OR(UPPER(E427)="UNITED STATES",UPPER(E427)="UNITED STATES OF AMERICA",UPPER(E427)="US",UPPER(E427)="USA"),"USA",E427)</f>
        <v>0</v>
      </c>
      <c r="N427" t="e" cm="1" vm="1">
        <f t="array" ref="N427">_xlfn.REGEXEXTRACT(F427,"\d{5}")</f>
        <v>#N/A</v>
      </c>
    </row>
    <row r="428" spans="1:14" ht="48" x14ac:dyDescent="0.15">
      <c r="A428" s="2" t="s">
        <v>616</v>
      </c>
      <c r="B428" s="2" t="s">
        <v>617</v>
      </c>
      <c r="C428" s="2"/>
      <c r="D428" s="2"/>
      <c r="E428" s="2" t="s">
        <v>10</v>
      </c>
      <c r="F428" s="2"/>
      <c r="G428" s="2"/>
      <c r="H428" s="2"/>
      <c r="I428" s="2" t="str">
        <f>TRIM(CLEAN(SUBSTITUTE(A428,CHAR(10)," ")))</f>
        <v>Swadeshi Castle Hills</v>
      </c>
      <c r="J428" s="2" t="str">
        <f>TRIM(_xlfn.REGEXREPLACE(B428,",\s*[^,]+,\s*[A-Za-z]{2}\s*\d{5}",""))</f>
        <v>112 Castle Hills Dr</v>
      </c>
      <c r="K428" s="10" t="s">
        <v>412</v>
      </c>
      <c r="L428" s="8" t="s">
        <v>20</v>
      </c>
      <c r="M428" t="str">
        <f>IF(OR(UPPER(E428)="UNITED STATES",UPPER(E428)="UNITED STATES OF AMERICA",UPPER(E428)="US",UPPER(E428)="USA"),"USA",E428)</f>
        <v>USA</v>
      </c>
      <c r="N428" t="e" cm="1" vm="1">
        <f t="array" ref="N428">_xlfn.REGEXEXTRACT(F428,"\d{5}")</f>
        <v>#N/A</v>
      </c>
    </row>
    <row r="429" spans="1:14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3"/>
    </row>
    <row r="430" spans="1:14" ht="60" x14ac:dyDescent="0.15">
      <c r="A430" s="2" t="s">
        <v>684</v>
      </c>
      <c r="B430" s="2" t="s">
        <v>685</v>
      </c>
      <c r="C430" s="2"/>
      <c r="D430" s="2"/>
      <c r="E430" s="2"/>
      <c r="F430" s="2"/>
      <c r="G430" s="2"/>
      <c r="H430" s="2"/>
      <c r="I430" s="2" t="str">
        <f>TRIM(CLEAN(SUBSTITUTE(A430,CHAR(10)," ")))</f>
        <v>FiLLi Cafe</v>
      </c>
      <c r="J430" s="2" t="str">
        <f>TRIM(_xlfn.REGEXREPLACE(B430,",\s*[^,]+,\s*[A-Za-z]{2}\s*\d{5}",""))</f>
        <v>11920 S Texas 6 # 600</v>
      </c>
      <c r="K430" s="10" t="s">
        <v>715</v>
      </c>
      <c r="L430" s="8" t="s">
        <v>20</v>
      </c>
      <c r="M430">
        <f>IF(OR(UPPER(E430)="UNITED STATES",UPPER(E430)="UNITED STATES OF AMERICA",UPPER(E430)="US",UPPER(E430)="USA"),"USA",E430)</f>
        <v>0</v>
      </c>
      <c r="N430" t="e" cm="1" vm="1">
        <f t="array" ref="N430">_xlfn.REGEXEXTRACT(F430,"\d{5}")</f>
        <v>#N/A</v>
      </c>
    </row>
    <row r="431" spans="1:14" ht="60" x14ac:dyDescent="0.15">
      <c r="A431" s="2" t="s">
        <v>1101</v>
      </c>
      <c r="B431" s="2" t="s">
        <v>1102</v>
      </c>
      <c r="C431" s="2"/>
      <c r="D431" s="2"/>
      <c r="E431" s="2"/>
      <c r="F431" s="2"/>
      <c r="G431" s="2"/>
      <c r="H431" s="2"/>
      <c r="I431" s="2" t="str">
        <f>TRIM(CLEAN(SUBSTITUTE(A431,CHAR(10)," ")))</f>
        <v>huqqa social</v>
      </c>
      <c r="J431" s="2" t="str">
        <f>TRIM(_xlfn.REGEXREPLACE(B431,",\s*[^,]+,\s*[A-Za-z]{2}\s*\d{5}",""))</f>
        <v>11920 S Texas 6 suite 1200</v>
      </c>
      <c r="K431" s="10" t="s">
        <v>715</v>
      </c>
      <c r="L431" s="8" t="s">
        <v>20</v>
      </c>
      <c r="M431">
        <f>IF(OR(UPPER(E431)="UNITED STATES",UPPER(E431)="UNITED STATES OF AMERICA",UPPER(E431)="US",UPPER(E431)="USA"),"USA",E431)</f>
        <v>0</v>
      </c>
      <c r="N431" t="e" cm="1" vm="1">
        <f t="array" ref="N431">_xlfn.REGEXEXTRACT(F431,"\d{5}")</f>
        <v>#N/A</v>
      </c>
    </row>
    <row r="432" spans="1:14" ht="48" x14ac:dyDescent="0.15">
      <c r="A432" s="2" t="s">
        <v>1108</v>
      </c>
      <c r="B432" s="2" t="s">
        <v>1109</v>
      </c>
      <c r="C432" s="2"/>
      <c r="D432" s="2" t="s">
        <v>20</v>
      </c>
      <c r="E432" s="2" t="s">
        <v>10</v>
      </c>
      <c r="F432" s="2" t="s">
        <v>238</v>
      </c>
      <c r="G432" s="2"/>
      <c r="H432" s="2"/>
      <c r="I432" s="2" t="str">
        <f>TRIM(CLEAN(SUBSTITUTE(A432,CHAR(10)," ")))</f>
        <v>Imperial Spice</v>
      </c>
      <c r="J432" s="2" t="str">
        <f>TRIM(_xlfn.REGEXREPLACE(B432,",\s*[^,]+,\s*[A-Za-z]{2}\s*\d{5}",""))</f>
        <v>11941 S Texas 6</v>
      </c>
      <c r="K432" s="10" t="s">
        <v>715</v>
      </c>
      <c r="L432" t="str">
        <f>UPPER(LEFT(TRIM(D432),2))</f>
        <v>TX</v>
      </c>
      <c r="M432" t="str">
        <f>IF(OR(UPPER(E432)="UNITED STATES",UPPER(E432)="UNITED STATES OF AMERICA",UPPER(E432)="US",UPPER(E432)="USA"),"USA",E432)</f>
        <v>USA</v>
      </c>
      <c r="N432" t="str" cm="1">
        <f t="array" ref="N432">_xlfn.REGEXEXTRACT(F432,"\d{5}")</f>
        <v>77498</v>
      </c>
    </row>
    <row r="433" spans="1:14" ht="48" x14ac:dyDescent="0.15">
      <c r="A433" s="2" t="s">
        <v>1250</v>
      </c>
      <c r="B433" s="2" t="s">
        <v>1251</v>
      </c>
      <c r="C433" s="2"/>
      <c r="D433" s="2"/>
      <c r="E433" s="2"/>
      <c r="F433" s="2"/>
      <c r="G433" s="2"/>
      <c r="H433" s="2"/>
      <c r="I433" s="2" t="str">
        <f>TRIM(CLEAN(SUBSTITUTE(A433,CHAR(10)," ")))</f>
        <v>SADIK BEY KEYSTONE</v>
      </c>
      <c r="J433" s="2" t="str">
        <f>TRIM(_xlfn.REGEXREPLACE(B433,",\s*[^,]+,\s*[A-Za-z]{2}\s*\d{5}",""))</f>
        <v>12608 Hempstead Rd</v>
      </c>
      <c r="K433" s="10" t="s">
        <v>29</v>
      </c>
      <c r="L433" s="8" t="s">
        <v>20</v>
      </c>
      <c r="M433">
        <f>IF(OR(UPPER(E433)="UNITED STATES",UPPER(E433)="UNITED STATES OF AMERICA",UPPER(E433)="US",UPPER(E433)="USA"),"USA",E433)</f>
        <v>0</v>
      </c>
      <c r="N433" t="e" cm="1" vm="1">
        <f t="array" ref="N433">_xlfn.REGEXEXTRACT(F433,"\d{5}")</f>
        <v>#N/A</v>
      </c>
    </row>
    <row r="434" spans="1:14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3"/>
    </row>
    <row r="435" spans="1:14" ht="48" x14ac:dyDescent="0.15">
      <c r="A435" s="2" t="s">
        <v>768</v>
      </c>
      <c r="B435" s="2" t="s">
        <v>769</v>
      </c>
      <c r="C435" s="2"/>
      <c r="D435" s="2"/>
      <c r="E435" s="2"/>
      <c r="F435" s="2"/>
      <c r="G435" s="2"/>
      <c r="H435" s="2"/>
      <c r="I435" s="2" t="str">
        <f>TRIM(CLEAN(SUBSTITUTE(A435,CHAR(10)," ")))</f>
        <v>Chopan Kabob House</v>
      </c>
      <c r="J435" s="2" t="str">
        <f>TRIM(_xlfn.REGEXREPLACE(B435,",\s*[^,]+,\s*[A-Za-z]{2}\s*\d{5}",""))</f>
        <v>13117 Westheimer Rd</v>
      </c>
      <c r="K435" s="10" t="s">
        <v>29</v>
      </c>
      <c r="L435" s="8" t="s">
        <v>20</v>
      </c>
      <c r="M435">
        <f>IF(OR(UPPER(E435)="UNITED STATES",UPPER(E435)="UNITED STATES OF AMERICA",UPPER(E435)="US",UPPER(E435)="USA"),"USA",E435)</f>
        <v>0</v>
      </c>
      <c r="N435" t="e" cm="1" vm="1">
        <f t="array" ref="N435">_xlfn.REGEXEXTRACT(F435,"\d{5}")</f>
        <v>#N/A</v>
      </c>
    </row>
    <row r="436" spans="1:14" ht="48" x14ac:dyDescent="0.15">
      <c r="A436" s="2" t="s">
        <v>798</v>
      </c>
      <c r="B436" s="2" t="s">
        <v>799</v>
      </c>
      <c r="C436" s="2"/>
      <c r="D436" s="2"/>
      <c r="E436" s="2"/>
      <c r="F436" s="2"/>
      <c r="G436" s="2"/>
      <c r="H436" s="2"/>
      <c r="I436" s="2" t="str">
        <f>TRIM(CLEAN(SUBSTITUTE(A436,CHAR(10)," ")))</f>
        <v>Harmony School of Innovation - Sugar Land</v>
      </c>
      <c r="J436" s="2" t="str">
        <f>TRIM(_xlfn.REGEXREPLACE(B436,",\s*[^,]+,\s*[A-Za-z]{2}\s*\d{5}",""))</f>
        <v>13738 Old Richmond Rd Sugar Land Texas 77498</v>
      </c>
      <c r="K436" s="10" t="s">
        <v>715</v>
      </c>
      <c r="L436" s="8" t="s">
        <v>20</v>
      </c>
      <c r="M436">
        <f>IF(OR(UPPER(E436)="UNITED STATES",UPPER(E436)="UNITED STATES OF AMERICA",UPPER(E436)="US",UPPER(E436)="USA"),"USA",E436)</f>
        <v>0</v>
      </c>
      <c r="N436" t="e" cm="1" vm="1">
        <f t="array" ref="N436">_xlfn.REGEXEXTRACT(F436,"\d{5}")</f>
        <v>#N/A</v>
      </c>
    </row>
    <row r="437" spans="1:14" ht="60" x14ac:dyDescent="0.15">
      <c r="A437" s="2" t="s">
        <v>620</v>
      </c>
      <c r="B437" s="2" t="s">
        <v>621</v>
      </c>
      <c r="C437" s="2"/>
      <c r="D437" s="2"/>
      <c r="E437" s="2" t="s">
        <v>10</v>
      </c>
      <c r="F437" s="2"/>
      <c r="G437" s="2"/>
      <c r="H437" s="2"/>
      <c r="I437" s="2" t="str">
        <f>TRIM(CLEAN(SUBSTITUTE(A437,CHAR(10)," ")))</f>
        <v>Tarboosh Gyro Grill</v>
      </c>
      <c r="J437" s="2" t="str">
        <f>TRIM(_xlfn.REGEXREPLACE(B437,",\s*[^,]+,\s*[A-Za-z]{2}\s*\d{5}",""))</f>
        <v>1403 E Campbell Rd #101c, Richardson, TX 750</v>
      </c>
      <c r="K437" s="10" t="s">
        <v>207</v>
      </c>
      <c r="L437" s="8" t="s">
        <v>20</v>
      </c>
      <c r="M437" t="str">
        <f>IF(OR(UPPER(E437)="UNITED STATES",UPPER(E437)="UNITED STATES OF AMERICA",UPPER(E437)="US",UPPER(E437)="USA"),"USA",E437)</f>
        <v>USA</v>
      </c>
      <c r="N437" t="e" cm="1" vm="1">
        <f t="array" ref="N437">_xlfn.REGEXEXTRACT(F437,"\d{5}")</f>
        <v>#N/A</v>
      </c>
    </row>
    <row r="438" spans="1:14" ht="48" x14ac:dyDescent="0.15">
      <c r="A438" s="2" t="s">
        <v>1159</v>
      </c>
      <c r="B438" s="2" t="s">
        <v>1160</v>
      </c>
      <c r="C438" s="2"/>
      <c r="D438" s="2"/>
      <c r="E438" s="2"/>
      <c r="F438" s="2"/>
      <c r="G438" s="2"/>
      <c r="H438" s="2"/>
      <c r="I438" s="2" t="str">
        <f>TRIM(CLEAN(SUBSTITUTE(A438,CHAR(10)," ")))</f>
        <v>MADINA MARKET</v>
      </c>
      <c r="J438" s="2" t="str">
        <f>TRIM(_xlfn.REGEXREPLACE(B438,",\s*[^,]+,\s*[A-Za-z]{2}\s*\d{5}",""))</f>
        <v>1409 Shiloh Rd #200</v>
      </c>
      <c r="K438" s="10" t="s">
        <v>230</v>
      </c>
      <c r="L438" s="8" t="s">
        <v>20</v>
      </c>
      <c r="M438">
        <f>IF(OR(UPPER(E438)="UNITED STATES",UPPER(E438)="UNITED STATES OF AMERICA",UPPER(E438)="US",UPPER(E438)="USA"),"USA",E438)</f>
        <v>0</v>
      </c>
      <c r="N438" t="e" cm="1" vm="1">
        <f t="array" ref="N438">_xlfn.REGEXEXTRACT(F438,"\d{5}")</f>
        <v>#N/A</v>
      </c>
    </row>
    <row r="439" spans="1:14" ht="48" x14ac:dyDescent="0.15">
      <c r="A439" s="2" t="s">
        <v>641</v>
      </c>
      <c r="B439" s="2" t="s">
        <v>642</v>
      </c>
      <c r="C439" s="2"/>
      <c r="D439" s="2"/>
      <c r="E439" s="2" t="s">
        <v>10</v>
      </c>
      <c r="F439" s="2"/>
      <c r="G439" s="2"/>
      <c r="H439" s="2"/>
      <c r="I439" s="2" t="str">
        <f>TRIM(CLEAN(SUBSTITUTE(A439,CHAR(10)," ")))</f>
        <v>Wings Kebab Afghani Cuisine</v>
      </c>
      <c r="J439" s="2" t="str">
        <f>TRIM(_xlfn.REGEXREPLACE(B439,",\s*[^,]+,\s*[A-Za-z]{2}\s*\d{5}",""))</f>
        <v>141 Spring Creek Pkwy #401</v>
      </c>
      <c r="K439" s="10" t="s">
        <v>230</v>
      </c>
      <c r="L439" s="8" t="s">
        <v>20</v>
      </c>
      <c r="M439" t="str">
        <f>IF(OR(UPPER(E439)="UNITED STATES",UPPER(E439)="UNITED STATES OF AMERICA",UPPER(E439)="US",UPPER(E439)="USA"),"USA",E439)</f>
        <v>USA</v>
      </c>
      <c r="N439" t="e" cm="1" vm="1">
        <f t="array" ref="N439">_xlfn.REGEXEXTRACT(F439,"\d{5}")</f>
        <v>#N/A</v>
      </c>
    </row>
    <row r="440" spans="1:14" ht="48" x14ac:dyDescent="0.15">
      <c r="A440" s="2" t="s">
        <v>625</v>
      </c>
      <c r="B440" s="2" t="s">
        <v>626</v>
      </c>
      <c r="C440" s="2"/>
      <c r="D440" s="2"/>
      <c r="E440" s="2" t="s">
        <v>10</v>
      </c>
      <c r="F440" s="2"/>
      <c r="G440" s="2"/>
      <c r="H440" s="2"/>
      <c r="I440" s="2" t="str">
        <f>TRIM(CLEAN(SUBSTITUTE(A440,CHAR(10)," ")))</f>
        <v>The Raindrop of Dallas</v>
      </c>
      <c r="J440" s="2" t="str">
        <f>TRIM(_xlfn.REGEXREPLACE(B440,",\s*[^,]+,\s*[A-Za-z]{2}\s*\d{5}",""))</f>
        <v>1416 E Collins Blvd</v>
      </c>
      <c r="K440" s="10" t="s">
        <v>207</v>
      </c>
      <c r="L440" s="8" t="s">
        <v>20</v>
      </c>
      <c r="M440" t="str">
        <f>IF(OR(UPPER(E440)="UNITED STATES",UPPER(E440)="UNITED STATES OF AMERICA",UPPER(E440)="US",UPPER(E440)="USA"),"USA",E440)</f>
        <v>USA</v>
      </c>
      <c r="N440" t="e" cm="1" vm="1">
        <f t="array" ref="N440">_xlfn.REGEXEXTRACT(F440,"\d{5}")</f>
        <v>#N/A</v>
      </c>
    </row>
    <row r="441" spans="1:14" ht="48" x14ac:dyDescent="0.15">
      <c r="A441" s="2" t="s">
        <v>618</v>
      </c>
      <c r="B441" s="2" t="s">
        <v>619</v>
      </c>
      <c r="C441" s="2"/>
      <c r="D441" s="2"/>
      <c r="E441" s="2" t="s">
        <v>10</v>
      </c>
      <c r="F441" s="2"/>
      <c r="G441" s="2"/>
      <c r="H441" s="2"/>
      <c r="I441" s="2" t="str">
        <f>TRIM(CLEAN(SUBSTITUTE(A441,CHAR(10)," ")))</f>
        <v>Swadeshi Frisco - Indian Grocery,</v>
      </c>
      <c r="J441" s="2" t="str">
        <f>TRIM(_xlfn.REGEXREPLACE(B441,",\s*[^,]+,\s*[A-Za-z]{2}\s*\d{5}",""))</f>
        <v>14300 State Hwy 121 #100</v>
      </c>
      <c r="K441" s="10" t="s">
        <v>148</v>
      </c>
      <c r="L441" s="8" t="s">
        <v>20</v>
      </c>
      <c r="M441" t="str">
        <f>IF(OR(UPPER(E441)="UNITED STATES",UPPER(E441)="UNITED STATES OF AMERICA",UPPER(E441)="US",UPPER(E441)="USA"),"USA",E441)</f>
        <v>USA</v>
      </c>
      <c r="N441" t="e" cm="1" vm="1">
        <f t="array" ref="N441">_xlfn.REGEXEXTRACT(F441,"\d{5}")</f>
        <v>#N/A</v>
      </c>
    </row>
    <row r="442" spans="1:14" ht="48" x14ac:dyDescent="0.15">
      <c r="A442" s="2" t="s">
        <v>875</v>
      </c>
      <c r="B442" s="2" t="s">
        <v>876</v>
      </c>
      <c r="C442" s="2"/>
      <c r="D442" s="2"/>
      <c r="E442" s="2"/>
      <c r="F442" s="2"/>
      <c r="G442" s="2"/>
      <c r="H442" s="2"/>
      <c r="I442" s="2" t="str">
        <f>TRIM(CLEAN(SUBSTITUTE(A442,CHAR(10)," ")))</f>
        <v>World Food Mart</v>
      </c>
      <c r="J442" s="2" t="str">
        <f>TRIM(_xlfn.REGEXREPLACE(B442,",\s*[^,]+,\s*[A-Za-z]{2}\s*\d{5}",""))</f>
        <v>14625 Beechnut St</v>
      </c>
      <c r="K442" s="10" t="s">
        <v>29</v>
      </c>
      <c r="L442" s="8" t="s">
        <v>20</v>
      </c>
      <c r="M442">
        <f>IF(OR(UPPER(E442)="UNITED STATES",UPPER(E442)="UNITED STATES OF AMERICA",UPPER(E442)="US",UPPER(E442)="USA"),"USA",E442)</f>
        <v>0</v>
      </c>
      <c r="N442" t="e" cm="1" vm="1">
        <f t="array" ref="N442">_xlfn.REGEXEXTRACT(F442,"\d{5}")</f>
        <v>#N/A</v>
      </c>
    </row>
    <row r="443" spans="1:14" ht="36" x14ac:dyDescent="0.15">
      <c r="A443" s="2" t="s">
        <v>1178</v>
      </c>
      <c r="B443" s="2" t="s">
        <v>1179</v>
      </c>
      <c r="C443" s="2"/>
      <c r="D443" s="2"/>
      <c r="E443" s="2"/>
      <c r="F443" s="2"/>
      <c r="G443" s="2"/>
      <c r="H443" s="2"/>
      <c r="I443" s="2" t="str">
        <f>TRIM(CLEAN(SUBSTITUTE(A443,CHAR(10)," ")))</f>
        <v>Mehmet Uçar</v>
      </c>
      <c r="J443" s="2" t="str">
        <f>TRIM(_xlfn.REGEXREPLACE(B443,",\s*[^,]+,\s*[A-Za-z]{2}\s*\d{5}",""))</f>
        <v>15219 Snow Hill Ct Sugar Land 77498</v>
      </c>
      <c r="K443" s="10" t="s">
        <v>715</v>
      </c>
      <c r="L443" s="8" t="s">
        <v>20</v>
      </c>
      <c r="M443">
        <f>IF(OR(UPPER(E443)="UNITED STATES",UPPER(E443)="UNITED STATES OF AMERICA",UPPER(E443)="US",UPPER(E443)="USA"),"USA",E443)</f>
        <v>0</v>
      </c>
      <c r="N443" t="e" cm="1" vm="1">
        <f t="array" ref="N443">_xlfn.REGEXEXTRACT(F443,"\d{5}")</f>
        <v>#N/A</v>
      </c>
    </row>
    <row r="444" spans="1:14" ht="60" x14ac:dyDescent="0.15">
      <c r="A444" s="2" t="s">
        <v>992</v>
      </c>
      <c r="B444" s="2" t="s">
        <v>993</v>
      </c>
      <c r="C444" s="2"/>
      <c r="D444" s="2"/>
      <c r="E444" s="2" t="s">
        <v>10</v>
      </c>
      <c r="F444" s="2"/>
      <c r="G444" s="2"/>
      <c r="H444" s="2"/>
      <c r="I444" s="2" t="str">
        <f>TRIM(CLEAN(SUBSTITUTE(A444,CHAR(10)," ")))</f>
        <v>Kwality Bazaar- Halal Supermarket</v>
      </c>
      <c r="J444" s="2" t="str">
        <f>TRIM(_xlfn.REGEXREPLACE(B444,",\s*[^,]+,\s*[A-Za-z]{2}\s*\d{5}",""))</f>
        <v>16803 W Airport Blvd suite 200</v>
      </c>
      <c r="K444" s="10" t="s">
        <v>728</v>
      </c>
      <c r="L444" s="8" t="s">
        <v>20</v>
      </c>
      <c r="M444" t="str">
        <f>IF(OR(UPPER(E444)="UNITED STATES",UPPER(E444)="UNITED STATES OF AMERICA",UPPER(E444)="US",UPPER(E444)="USA"),"USA",E444)</f>
        <v>USA</v>
      </c>
      <c r="N444" t="e" cm="1" vm="1">
        <f t="array" ref="N444">_xlfn.REGEXEXTRACT(F444,"\d{5}")</f>
        <v>#N/A</v>
      </c>
    </row>
    <row r="445" spans="1:14" ht="36" x14ac:dyDescent="0.15">
      <c r="A445" s="2" t="s">
        <v>1200</v>
      </c>
      <c r="B445" s="2" t="s">
        <v>1201</v>
      </c>
      <c r="C445" s="2"/>
      <c r="D445" s="2"/>
      <c r="E445" s="2"/>
      <c r="F445" s="2" t="s">
        <v>284</v>
      </c>
      <c r="G445" s="2"/>
      <c r="H445" s="2"/>
      <c r="I445" s="2" t="str">
        <f>TRIM(CLEAN(SUBSTITUTE(A445,CHAR(10)," ")))</f>
        <v>Mr Rayhan</v>
      </c>
      <c r="J445" s="2" t="str">
        <f>TRIM(_xlfn.REGEXREPLACE(B445,",\s*[^,]+,\s*[A-Za-z]{2}\s*\d{5}",""))</f>
        <v>1815 W Campbell Rd, Garland TX</v>
      </c>
      <c r="K445" s="10" t="s">
        <v>237</v>
      </c>
      <c r="L445" s="8" t="s">
        <v>20</v>
      </c>
      <c r="M445">
        <f>IF(OR(UPPER(E445)="UNITED STATES",UPPER(E445)="UNITED STATES OF AMERICA",UPPER(E445)="US",UPPER(E445)="USA"),"USA",E445)</f>
        <v>0</v>
      </c>
      <c r="N445" t="str" cm="1">
        <f t="array" ref="N445">_xlfn.REGEXEXTRACT(F445,"\d{5}")</f>
        <v>75044</v>
      </c>
    </row>
    <row r="446" spans="1:14" ht="48" x14ac:dyDescent="0.15">
      <c r="A446" s="2" t="s">
        <v>443</v>
      </c>
      <c r="B446" s="2" t="s">
        <v>444</v>
      </c>
      <c r="C446" s="2"/>
      <c r="D446" s="2"/>
      <c r="E446" s="2" t="s">
        <v>10</v>
      </c>
      <c r="F446" s="2"/>
      <c r="G446" s="2"/>
      <c r="H446" s="2"/>
      <c r="I446" s="2" t="str">
        <f>TRIM(CLEAN(SUBSTITUTE(A446,CHAR(10)," ")))</f>
        <v>Hasan Basri Bey</v>
      </c>
      <c r="J446" s="2" t="str">
        <f>TRIM(_xlfn.REGEXREPLACE(B446,",\s*[^,]+,\s*[A-Za-z]{2}\s*\d{5}",""))</f>
        <v>190 E Stacy Rd #1414</v>
      </c>
      <c r="K446" s="10" t="s">
        <v>418</v>
      </c>
      <c r="L446" s="8" t="s">
        <v>20</v>
      </c>
      <c r="M446" t="str">
        <f>IF(OR(UPPER(E446)="UNITED STATES",UPPER(E446)="UNITED STATES OF AMERICA",UPPER(E446)="US",UPPER(E446)="USA"),"USA",E446)</f>
        <v>USA</v>
      </c>
      <c r="N446" t="e" cm="1" vm="1">
        <f t="array" ref="N446">_xlfn.REGEXEXTRACT(F446,"\d{5}")</f>
        <v>#N/A</v>
      </c>
    </row>
    <row r="447" spans="1:14" ht="48" x14ac:dyDescent="0.15">
      <c r="A447" s="2" t="s">
        <v>536</v>
      </c>
      <c r="B447" s="2" t="s">
        <v>444</v>
      </c>
      <c r="C447" s="2"/>
      <c r="D447" s="2"/>
      <c r="E447" s="2" t="s">
        <v>10</v>
      </c>
      <c r="F447" s="2"/>
      <c r="G447" s="2"/>
      <c r="H447" s="2"/>
      <c r="I447" s="2" t="str">
        <f>TRIM(CLEAN(SUBSTITUTE(A447,CHAR(10)," ")))</f>
        <v>PappaRoti Allen</v>
      </c>
      <c r="J447" s="2" t="str">
        <f>TRIM(_xlfn.REGEXREPLACE(B447,",\s*[^,]+,\s*[A-Za-z]{2}\s*\d{5}",""))</f>
        <v>190 E Stacy Rd #1414</v>
      </c>
      <c r="K447" s="10" t="s">
        <v>418</v>
      </c>
      <c r="L447" s="8" t="s">
        <v>20</v>
      </c>
      <c r="M447" t="str">
        <f>IF(OR(UPPER(E447)="UNITED STATES",UPPER(E447)="UNITED STATES OF AMERICA",UPPER(E447)="US",UPPER(E447)="USA"),"USA",E447)</f>
        <v>USA</v>
      </c>
      <c r="N447" t="e" cm="1" vm="1">
        <f t="array" ref="N447">_xlfn.REGEXEXTRACT(F447,"\d{5}")</f>
        <v>#N/A</v>
      </c>
    </row>
    <row r="448" spans="1:14" ht="48" x14ac:dyDescent="0.15">
      <c r="A448" s="2" t="s">
        <v>675</v>
      </c>
      <c r="B448" s="2" t="s">
        <v>676</v>
      </c>
      <c r="C448" s="2"/>
      <c r="D448" s="2"/>
      <c r="E448" s="2"/>
      <c r="F448" s="2"/>
      <c r="G448" s="2"/>
      <c r="H448" s="2"/>
      <c r="I448" s="2" t="str">
        <f>TRIM(CLEAN(SUBSTITUTE(A448,CHAR(10)," ")))</f>
        <v>Express Kabob</v>
      </c>
      <c r="J448" s="2" t="str">
        <f>TRIM(_xlfn.REGEXREPLACE(B448,",\s*[^,]+,\s*[A-Za-z]{2}\s*\d{5}",""))</f>
        <v>1915 N Central Expy #200</v>
      </c>
      <c r="K448" s="10" t="s">
        <v>230</v>
      </c>
      <c r="L448" s="8" t="s">
        <v>20</v>
      </c>
      <c r="M448">
        <f>IF(OR(UPPER(E448)="UNITED STATES",UPPER(E448)="UNITED STATES OF AMERICA",UPPER(E448)="US",UPPER(E448)="USA"),"USA",E448)</f>
        <v>0</v>
      </c>
      <c r="N448" t="e" cm="1" vm="1">
        <f t="array" ref="N448">_xlfn.REGEXEXTRACT(F448,"\d{5}")</f>
        <v>#N/A</v>
      </c>
    </row>
    <row r="449" spans="1:14" ht="36" x14ac:dyDescent="0.15">
      <c r="A449" s="2" t="s">
        <v>635</v>
      </c>
      <c r="B449" s="2" t="s">
        <v>636</v>
      </c>
      <c r="C449" s="2"/>
      <c r="D449" s="2"/>
      <c r="E449" s="2" t="s">
        <v>10</v>
      </c>
      <c r="F449" s="2"/>
      <c r="G449" s="2"/>
      <c r="H449" s="2"/>
      <c r="I449" s="2" t="str">
        <f>TRIM(CLEAN(SUBSTITUTE(A449,CHAR(10)," ")))</f>
        <v>Turan Uyghur Kitchen</v>
      </c>
      <c r="J449" s="2" t="str">
        <f>TRIM(_xlfn.REGEXREPLACE(B449,",\s*[^,]+,\s*[A-Za-z]{2}\s*\d{5}",""))</f>
        <v>2001 Coit Rd #163</v>
      </c>
      <c r="K449" s="10" t="s">
        <v>230</v>
      </c>
      <c r="L449" s="8" t="s">
        <v>20</v>
      </c>
      <c r="M449" t="str">
        <f>IF(OR(UPPER(E449)="UNITED STATES",UPPER(E449)="UNITED STATES OF AMERICA",UPPER(E449)="US",UPPER(E449)="USA"),"USA",E449)</f>
        <v>USA</v>
      </c>
      <c r="N449" t="e" cm="1" vm="1">
        <f t="array" ref="N449">_xlfn.REGEXEXTRACT(F449,"\d{5}")</f>
        <v>#N/A</v>
      </c>
    </row>
    <row r="450" spans="1:14" ht="36" x14ac:dyDescent="0.15">
      <c r="A450" s="2" t="s">
        <v>420</v>
      </c>
      <c r="B450" s="2" t="s">
        <v>421</v>
      </c>
      <c r="C450" s="2"/>
      <c r="D450" s="2"/>
      <c r="E450" s="2" t="s">
        <v>10</v>
      </c>
      <c r="F450" s="2"/>
      <c r="G450" s="2"/>
      <c r="H450" s="2"/>
      <c r="I450" s="2" t="str">
        <f>TRIM(CLEAN(SUBSTITUTE(A450,CHAR(10)," ")))</f>
        <v>Habesha Cafe</v>
      </c>
      <c r="J450" s="2" t="str">
        <f>TRIM(_xlfn.REGEXREPLACE(B450,",\s*[^,]+,\s*[A-Za-z]{2}\s*\d{5}",""))</f>
        <v>207 Martha St</v>
      </c>
      <c r="K450" s="10" t="s">
        <v>224</v>
      </c>
      <c r="L450" s="8" t="s">
        <v>20</v>
      </c>
      <c r="M450" t="str">
        <f>IF(OR(UPPER(E450)="UNITED STATES",UPPER(E450)="UNITED STATES OF AMERICA",UPPER(E450)="US",UPPER(E450)="USA"),"USA",E450)</f>
        <v>USA</v>
      </c>
      <c r="N450" t="e" cm="1" vm="1">
        <f t="array" ref="N450">_xlfn.REGEXEXTRACT(F450,"\d{5}")</f>
        <v>#N/A</v>
      </c>
    </row>
    <row r="451" spans="1:14" ht="48" x14ac:dyDescent="0.15">
      <c r="A451" s="2" t="s">
        <v>388</v>
      </c>
      <c r="B451" s="2" t="s">
        <v>389</v>
      </c>
      <c r="C451" s="2"/>
      <c r="D451" s="2"/>
      <c r="E451" s="2" t="s">
        <v>10</v>
      </c>
      <c r="F451" s="2"/>
      <c r="G451" s="2"/>
      <c r="H451" s="2"/>
      <c r="I451" s="2" t="str">
        <f>TRIM(CLEAN(SUBSTITUTE(A451,CHAR(10)," ")))</f>
        <v>Fattoush Restaurant</v>
      </c>
      <c r="J451" s="2" t="str">
        <f>TRIM(_xlfn.REGEXREPLACE(B451,",\s*[^,]+,\s*[A-Za-z]{2}\s*\d{5}",""))</f>
        <v>2304 W Park Row Dr Suite 25</v>
      </c>
      <c r="K451" s="10" t="s">
        <v>394</v>
      </c>
      <c r="L451" s="8" t="s">
        <v>20</v>
      </c>
      <c r="M451" t="str">
        <f>IF(OR(UPPER(E451)="UNITED STATES",UPPER(E451)="UNITED STATES OF AMERICA",UPPER(E451)="US",UPPER(E451)="USA"),"USA",E451)</f>
        <v>USA</v>
      </c>
      <c r="N451" t="e" cm="1" vm="1">
        <f t="array" ref="N451">_xlfn.REGEXEXTRACT(F451,"\d{5}")</f>
        <v>#N/A</v>
      </c>
    </row>
    <row r="452" spans="1:14" ht="36" x14ac:dyDescent="0.15">
      <c r="A452" s="2" t="s">
        <v>696</v>
      </c>
      <c r="B452" s="2" t="s">
        <v>697</v>
      </c>
      <c r="C452" s="2"/>
      <c r="D452" s="2"/>
      <c r="E452" s="2"/>
      <c r="F452" s="2"/>
      <c r="G452" s="2"/>
      <c r="H452" s="2"/>
      <c r="I452" s="2" t="str">
        <f>TRIM(CLEAN(SUBSTITUTE(A452,CHAR(10)," ")))</f>
        <v>FUEL OF AMERICA EXIT 32</v>
      </c>
      <c r="J452" s="2" t="str">
        <f>TRIM(_xlfn.REGEXREPLACE(B452,",\s*[^,]+,\s*[A-Za-z]{2}\s*\d{5}",""))</f>
        <v>23183 I-35</v>
      </c>
      <c r="K452" s="10" t="s">
        <v>1399</v>
      </c>
      <c r="L452" s="8" t="s">
        <v>20</v>
      </c>
      <c r="M452">
        <f>IF(OR(UPPER(E452)="UNITED STATES",UPPER(E452)="UNITED STATES OF AMERICA",UPPER(E452)="US",UPPER(E452)="USA"),"USA",E452)</f>
        <v>0</v>
      </c>
      <c r="N452" t="e" cm="1" vm="1">
        <f t="array" ref="N452">_xlfn.REGEXEXTRACT(F452,"\d{5}")</f>
        <v>#N/A</v>
      </c>
    </row>
    <row r="453" spans="1:14" ht="60" x14ac:dyDescent="0.15">
      <c r="A453" s="2" t="s">
        <v>459</v>
      </c>
      <c r="B453" s="2" t="s">
        <v>460</v>
      </c>
      <c r="C453" s="2"/>
      <c r="D453" s="2"/>
      <c r="E453" s="2" t="s">
        <v>10</v>
      </c>
      <c r="F453" s="2"/>
      <c r="G453" s="2"/>
      <c r="H453" s="2"/>
      <c r="I453" s="2" t="str">
        <f>TRIM(CLEAN(SUBSTITUTE(A453,CHAR(10)," ")))</f>
        <v>Indo-Pak Carrollton</v>
      </c>
      <c r="J453" s="2" t="str">
        <f>TRIM(_xlfn.REGEXREPLACE(B453,",\s*[^,]+,\s*[A-Za-z]{2}\s*\d{5}",""))</f>
        <v>2548 Dickerson Pkwy</v>
      </c>
      <c r="K453" s="10" t="s">
        <v>250</v>
      </c>
      <c r="L453" s="8" t="s">
        <v>20</v>
      </c>
      <c r="M453" t="str">
        <f>IF(OR(UPPER(E453)="UNITED STATES",UPPER(E453)="UNITED STATES OF AMERICA",UPPER(E453)="US",UPPER(E453)="USA"),"USA",E453)</f>
        <v>USA</v>
      </c>
      <c r="N453" t="e" cm="1" vm="1">
        <f t="array" ref="N453">_xlfn.REGEXEXTRACT(F453,"\d{5}")</f>
        <v>#N/A</v>
      </c>
    </row>
    <row r="454" spans="1:14" ht="48" x14ac:dyDescent="0.15">
      <c r="A454" s="2" t="s">
        <v>1032</v>
      </c>
      <c r="B454" s="2" t="s">
        <v>1033</v>
      </c>
      <c r="C454" s="2"/>
      <c r="D454" s="2"/>
      <c r="E454" s="2" t="s">
        <v>10</v>
      </c>
      <c r="F454" s="2"/>
      <c r="G454" s="2"/>
      <c r="H454" s="2"/>
      <c r="I454" s="2" t="str">
        <f>TRIM(CLEAN(SUBSTITUTE(A454,CHAR(10)," ")))</f>
        <v>Ninja Kebab</v>
      </c>
      <c r="J454" s="2" t="str">
        <f>TRIM(_xlfn.REGEXREPLACE(B454,",\s*[^,]+,\s*[A-Za-z]{2}\s*\d{5}",""))</f>
        <v>2608 S Shepherd Dr</v>
      </c>
      <c r="K454" s="10" t="s">
        <v>29</v>
      </c>
      <c r="L454" s="8" t="s">
        <v>20</v>
      </c>
      <c r="M454" t="str">
        <f>IF(OR(UPPER(E454)="UNITED STATES",UPPER(E454)="UNITED STATES OF AMERICA",UPPER(E454)="US",UPPER(E454)="USA"),"USA",E454)</f>
        <v>USA</v>
      </c>
      <c r="N454" t="e" cm="1" vm="1">
        <f t="array" ref="N454">_xlfn.REGEXEXTRACT(F454,"\d{5}")</f>
        <v>#N/A</v>
      </c>
    </row>
    <row r="455" spans="1:14" ht="60" x14ac:dyDescent="0.15">
      <c r="A455" s="2" t="s">
        <v>91</v>
      </c>
      <c r="B455" s="2" t="s">
        <v>92</v>
      </c>
      <c r="C455" s="2"/>
      <c r="D455" s="2"/>
      <c r="E455" s="2"/>
      <c r="F455" s="2"/>
      <c r="G455" s="2"/>
      <c r="H455" s="2"/>
      <c r="I455" s="2" t="str">
        <f>TRIM(CLEAN(SUBSTITUTE(A455,CHAR(10)," ")))</f>
        <v>Raindrop Foundation Austin</v>
      </c>
      <c r="J455" s="2" t="str">
        <f>TRIM(_xlfn.REGEXREPLACE(B455,",\s*[^,]+,\s*[A-Za-z]{2}\s*\d{5}",""))</f>
        <v>2650 Gattis School Rd Ste 700</v>
      </c>
      <c r="K455" s="10" t="s">
        <v>66</v>
      </c>
      <c r="L455" s="8" t="s">
        <v>20</v>
      </c>
      <c r="M455">
        <f>IF(OR(UPPER(E455)="UNITED STATES",UPPER(E455)="UNITED STATES OF AMERICA",UPPER(E455)="US",UPPER(E455)="USA"),"USA",E455)</f>
        <v>0</v>
      </c>
      <c r="N455" t="e" cm="1" vm="1">
        <f t="array" ref="N455">_xlfn.REGEXEXTRACT(F455,"\d{5}")</f>
        <v>#N/A</v>
      </c>
    </row>
    <row r="456" spans="1:14" ht="48" x14ac:dyDescent="0.15">
      <c r="A456" s="2" t="s">
        <v>1055</v>
      </c>
      <c r="B456" s="2" t="s">
        <v>1056</v>
      </c>
      <c r="C456" s="2"/>
      <c r="D456" s="2"/>
      <c r="E456" s="2" t="s">
        <v>10</v>
      </c>
      <c r="F456" s="2"/>
      <c r="G456" s="2"/>
      <c r="H456" s="2"/>
      <c r="I456" s="2" t="str">
        <f>TRIM(CLEAN(SUBSTITUTE(A456,CHAR(10)," ")))</f>
        <v>Sayad Mediterranean Kitchen</v>
      </c>
      <c r="J456" s="2" t="str">
        <f>TRIM(_xlfn.REGEXREPLACE(B456,",\s*[^,]+,\s*[A-Za-z]{2}\s*\d{5}",""))</f>
        <v>2712 Eldridge Pkwy</v>
      </c>
      <c r="K456" s="10" t="s">
        <v>29</v>
      </c>
      <c r="L456" s="8" t="s">
        <v>20</v>
      </c>
      <c r="M456" t="str">
        <f>IF(OR(UPPER(E456)="UNITED STATES",UPPER(E456)="UNITED STATES OF AMERICA",UPPER(E456)="US",UPPER(E456)="USA"),"USA",E456)</f>
        <v>USA</v>
      </c>
      <c r="N456" t="e" cm="1" vm="1">
        <f t="array" ref="N456">_xlfn.REGEXEXTRACT(F456,"\d{5}")</f>
        <v>#N/A</v>
      </c>
    </row>
    <row r="457" spans="1:14" ht="48" x14ac:dyDescent="0.15">
      <c r="A457" s="2" t="s">
        <v>1173</v>
      </c>
      <c r="B457" s="2" t="s">
        <v>1174</v>
      </c>
      <c r="C457" s="2"/>
      <c r="D457" s="2"/>
      <c r="E457" s="2"/>
      <c r="F457" s="2"/>
      <c r="G457" s="2"/>
      <c r="H457" s="2"/>
      <c r="I457" s="2" t="str">
        <f>TRIM(CLEAN(SUBSTITUTE(A457,CHAR(10)," ")))</f>
        <v>Mecca Food Mart</v>
      </c>
      <c r="J457" s="2" t="str">
        <f>TRIM(_xlfn.REGEXREPLACE(B457,",\s*[^,]+,\s*[A-Za-z]{2}\s*\d{5}",""))</f>
        <v>2810 S Cooper St</v>
      </c>
      <c r="K457" s="10" t="s">
        <v>1400</v>
      </c>
      <c r="L457" s="8" t="s">
        <v>20</v>
      </c>
      <c r="M457">
        <f>IF(OR(UPPER(E457)="UNITED STATES",UPPER(E457)="UNITED STATES OF AMERICA",UPPER(E457)="US",UPPER(E457)="USA"),"USA",E457)</f>
        <v>0</v>
      </c>
      <c r="N457" t="e" cm="1" vm="1">
        <f t="array" ref="N457">_xlfn.REGEXEXTRACT(F457,"\d{5}")</f>
        <v>#N/A</v>
      </c>
    </row>
    <row r="458" spans="1:14" ht="36" x14ac:dyDescent="0.15">
      <c r="A458" s="2" t="s">
        <v>633</v>
      </c>
      <c r="B458" s="2" t="s">
        <v>634</v>
      </c>
      <c r="C458" s="2"/>
      <c r="D458" s="2"/>
      <c r="E458" s="2" t="s">
        <v>10</v>
      </c>
      <c r="F458" s="2"/>
      <c r="G458" s="2"/>
      <c r="H458" s="2"/>
      <c r="I458" s="2" t="str">
        <f>TRIM(CLEAN(SUBSTITUTE(A458,CHAR(10)," ")))</f>
        <v>Tulsi Grocers</v>
      </c>
      <c r="J458" s="2" t="str">
        <f>TRIM(_xlfn.REGEXREPLACE(B458,",\s*[^,]+,\s*[A-Za-z]{2}\s*\d{5}",""))</f>
        <v>2811 FM 544</v>
      </c>
      <c r="K458" s="10" t="s">
        <v>629</v>
      </c>
      <c r="L458" s="8" t="s">
        <v>20</v>
      </c>
      <c r="M458" t="str">
        <f>IF(OR(UPPER(E458)="UNITED STATES",UPPER(E458)="UNITED STATES OF AMERICA",UPPER(E458)="US",UPPER(E458)="USA"),"USA",E458)</f>
        <v>USA</v>
      </c>
      <c r="N458" t="e" cm="1" vm="1">
        <f t="array" ref="N458">_xlfn.REGEXEXTRACT(F458,"\d{5}")</f>
        <v>#N/A</v>
      </c>
    </row>
    <row r="459" spans="1:14" ht="48" x14ac:dyDescent="0.15">
      <c r="A459" s="2" t="s">
        <v>664</v>
      </c>
      <c r="B459" s="2" t="s">
        <v>665</v>
      </c>
      <c r="C459" s="2"/>
      <c r="D459" s="2"/>
      <c r="E459" s="2"/>
      <c r="F459" s="2"/>
      <c r="G459" s="2"/>
      <c r="H459" s="2"/>
      <c r="I459" s="2" t="str">
        <f>TRIM(CLEAN(SUBSTITUTE(A459,CHAR(10)," ")))</f>
        <v>Doris Metropolitan</v>
      </c>
      <c r="J459" s="2" t="str">
        <f>TRIM(_xlfn.REGEXREPLACE(B459,",\s*[^,]+,\s*[A-Za-z]{2}\s*\d{5}",""))</f>
        <v>2815 S Shepherd Dr</v>
      </c>
      <c r="K459" s="10" t="s">
        <v>29</v>
      </c>
      <c r="L459" s="8" t="s">
        <v>20</v>
      </c>
      <c r="M459">
        <f>IF(OR(UPPER(E459)="UNITED STATES",UPPER(E459)="UNITED STATES OF AMERICA",UPPER(E459)="US",UPPER(E459)="USA"),"USA",E459)</f>
        <v>0</v>
      </c>
      <c r="N459" t="e" cm="1" vm="1">
        <f t="array" ref="N459">_xlfn.REGEXEXTRACT(F459,"\d{5}")</f>
        <v>#N/A</v>
      </c>
    </row>
    <row r="460" spans="1:14" ht="48" x14ac:dyDescent="0.15">
      <c r="A460" s="2" t="s">
        <v>398</v>
      </c>
      <c r="B460" s="2" t="s">
        <v>399</v>
      </c>
      <c r="C460" s="2"/>
      <c r="D460" s="2"/>
      <c r="E460" s="2" t="s">
        <v>10</v>
      </c>
      <c r="F460" s="2"/>
      <c r="G460" s="2"/>
      <c r="H460" s="2"/>
      <c r="I460" s="2" t="str">
        <f>TRIM(CLEAN(SUBSTITUTE(A460,CHAR(10)," ")))</f>
        <v>Gilgamesh restaurant</v>
      </c>
      <c r="J460" s="2" t="str">
        <f>TRIM(_xlfn.REGEXREPLACE(B460,",\s*[^,]+,\s*[A-Za-z]{2}\s*\d{5}",""))</f>
        <v>300 Terrace Dr #301</v>
      </c>
      <c r="K460" s="10" t="s">
        <v>207</v>
      </c>
      <c r="L460" s="8" t="s">
        <v>20</v>
      </c>
      <c r="M460" t="str">
        <f>IF(OR(UPPER(E460)="UNITED STATES",UPPER(E460)="UNITED STATES OF AMERICA",UPPER(E460)="US",UPPER(E460)="USA"),"USA",E460)</f>
        <v>USA</v>
      </c>
      <c r="N460" t="e" cm="1" vm="1">
        <f t="array" ref="N460">_xlfn.REGEXEXTRACT(F460,"\d{5}")</f>
        <v>#N/A</v>
      </c>
    </row>
    <row r="461" spans="1:14" ht="48" x14ac:dyDescent="0.15">
      <c r="A461" s="2" t="s">
        <v>1348</v>
      </c>
      <c r="B461" s="2" t="s">
        <v>1349</v>
      </c>
      <c r="C461" s="2"/>
      <c r="D461" s="2"/>
      <c r="E461" s="2"/>
      <c r="F461" s="2"/>
      <c r="G461" s="2"/>
      <c r="H461" s="2"/>
      <c r="I461" s="2" t="str">
        <f>TRIM(CLEAN(SUBSTITUTE(A461,CHAR(10)," ")))</f>
        <v>Shawarma Bites</v>
      </c>
      <c r="J461" s="2" t="str">
        <f>TRIM(_xlfn.REGEXREPLACE(B461,",\s*[^,]+,\s*[A-Za-z]{2}\s*\d{5}",""))</f>
        <v>3115 S Cooper St Ste 101</v>
      </c>
      <c r="K461" s="10" t="s">
        <v>368</v>
      </c>
      <c r="L461" s="8" t="s">
        <v>20</v>
      </c>
      <c r="M461">
        <f>IF(OR(UPPER(E461)="UNITED STATES",UPPER(E461)="UNITED STATES OF AMERICA",UPPER(E461)="US",UPPER(E461)="USA"),"USA",E461)</f>
        <v>0</v>
      </c>
      <c r="N461" t="e" cm="1" vm="1">
        <f t="array" ref="N461">_xlfn.REGEXEXTRACT(F461,"\d{5}")</f>
        <v>#N/A</v>
      </c>
    </row>
    <row r="462" spans="1:14" ht="36" x14ac:dyDescent="0.15">
      <c r="A462" s="2" t="s">
        <v>1045</v>
      </c>
      <c r="B462" s="2" t="s">
        <v>1046</v>
      </c>
      <c r="C462" s="2"/>
      <c r="D462" s="2"/>
      <c r="E462" s="2" t="s">
        <v>10</v>
      </c>
      <c r="F462" s="2"/>
      <c r="G462" s="2"/>
      <c r="H462" s="2"/>
      <c r="I462" s="2" t="str">
        <f>TRIM(CLEAN(SUBSTITUTE(A462,CHAR(10)," ")))</f>
        <v>Ranosh Cafe</v>
      </c>
      <c r="J462" s="2" t="str">
        <f>TRIM(_xlfn.REGEXREPLACE(B462,",\s*[^,]+,\s*[A-Za-z]{2}\s*\d{5}",""))</f>
        <v>3402 Fondren Rd</v>
      </c>
      <c r="K462" s="10" t="s">
        <v>29</v>
      </c>
      <c r="L462" s="8" t="s">
        <v>20</v>
      </c>
      <c r="M462" t="str">
        <f>IF(OR(UPPER(E462)="UNITED STATES",UPPER(E462)="UNITED STATES OF AMERICA",UPPER(E462)="US",UPPER(E462)="USA"),"USA",E462)</f>
        <v>USA</v>
      </c>
      <c r="N462" t="e" cm="1" vm="1">
        <f t="array" ref="N462">_xlfn.REGEXEXTRACT(F462,"\d{5}")</f>
        <v>#N/A</v>
      </c>
    </row>
    <row r="463" spans="1:14" ht="36" x14ac:dyDescent="0.15">
      <c r="A463" s="2" t="s">
        <v>990</v>
      </c>
      <c r="B463" s="2" t="s">
        <v>991</v>
      </c>
      <c r="C463" s="2"/>
      <c r="D463" s="2"/>
      <c r="E463" s="2"/>
      <c r="F463" s="2"/>
      <c r="G463" s="2"/>
      <c r="H463" s="2"/>
      <c r="I463" s="2" t="str">
        <f>TRIM(CLEAN(SUBSTITUTE(A463,CHAR(10)," ")))</f>
        <v>Khairallah Halal Meat</v>
      </c>
      <c r="J463" s="2" t="str">
        <f>TRIM(_xlfn.REGEXREPLACE(B463,",\s*[^,]+,\s*[A-Za-z]{2}\s*\d{5}",""))</f>
        <v>3525 Texas Ave</v>
      </c>
      <c r="K463" s="10" t="s">
        <v>1401</v>
      </c>
      <c r="L463" s="8" t="s">
        <v>20</v>
      </c>
      <c r="M463">
        <f>IF(OR(UPPER(E463)="UNITED STATES",UPPER(E463)="UNITED STATES OF AMERICA",UPPER(E463)="US",UPPER(E463)="USA"),"USA",E463)</f>
        <v>0</v>
      </c>
      <c r="N463" t="e" cm="1" vm="1">
        <f t="array" ref="N463">_xlfn.REGEXEXTRACT(F463,"\d{5}")</f>
        <v>#N/A</v>
      </c>
    </row>
    <row r="464" spans="1:14" ht="60" x14ac:dyDescent="0.15">
      <c r="A464" s="2" t="s">
        <v>457</v>
      </c>
      <c r="B464" s="2" t="s">
        <v>458</v>
      </c>
      <c r="C464" s="2"/>
      <c r="D464" s="2"/>
      <c r="E464" s="2" t="s">
        <v>10</v>
      </c>
      <c r="F464" s="2"/>
      <c r="G464" s="2"/>
      <c r="H464" s="2"/>
      <c r="I464" s="2" t="str">
        <f>TRIM(CLEAN(SUBSTITUTE(A464,CHAR(10)," ")))</f>
        <v>Indian Superstore</v>
      </c>
      <c r="J464" s="2" t="str">
        <f>TRIM(_xlfn.REGEXREPLACE(B464,",\s*[^,]+,\s*[A-Za-z]{2}\s*\d{5}",""))</f>
        <v>3555 Murphy Rd Suite #102</v>
      </c>
      <c r="K464" s="10" t="s">
        <v>207</v>
      </c>
      <c r="L464" s="8" t="s">
        <v>20</v>
      </c>
      <c r="M464" t="str">
        <f>IF(OR(UPPER(E464)="UNITED STATES",UPPER(E464)="UNITED STATES OF AMERICA",UPPER(E464)="US",UPPER(E464)="USA"),"USA",E464)</f>
        <v>USA</v>
      </c>
      <c r="N464" t="e" cm="1" vm="1">
        <f t="array" ref="N464">_xlfn.REGEXEXTRACT(F464,"\d{5}")</f>
        <v>#N/A</v>
      </c>
    </row>
    <row r="465" spans="1:14" ht="36" x14ac:dyDescent="0.15">
      <c r="A465" s="2" t="s">
        <v>169</v>
      </c>
      <c r="B465" s="2" t="s">
        <v>170</v>
      </c>
      <c r="C465" s="2"/>
      <c r="D465" s="2"/>
      <c r="E465" s="2"/>
      <c r="F465" s="2"/>
      <c r="G465" s="2"/>
      <c r="H465" s="2"/>
      <c r="I465" s="2" t="str">
        <f>TRIM(CLEAN(SUBSTITUTE(A465,CHAR(10)," ")))</f>
        <v>COFFE JOY</v>
      </c>
      <c r="J465" s="2" t="str">
        <f>TRIM(_xlfn.REGEXREPLACE(B465,",\s*[^,]+,\s*[A-Za-z]{2}\s*\d{5}",""))</f>
        <v>3617 Perkins Rd #1B, Baton Rouge, LA</v>
      </c>
      <c r="K465" s="10" t="s">
        <v>57</v>
      </c>
      <c r="L465" s="8" t="s">
        <v>58</v>
      </c>
      <c r="M465">
        <f>IF(OR(UPPER(E465)="UNITED STATES",UPPER(E465)="UNITED STATES OF AMERICA",UPPER(E465)="US",UPPER(E465)="USA"),"USA",E465)</f>
        <v>0</v>
      </c>
      <c r="N465" t="e" cm="1" vm="1">
        <f t="array" ref="N465">_xlfn.REGEXEXTRACT(F465,"\d{5}")</f>
        <v>#N/A</v>
      </c>
    </row>
    <row r="466" spans="1:14" ht="36" x14ac:dyDescent="0.15">
      <c r="A466" s="2" t="s">
        <v>1352</v>
      </c>
      <c r="B466" s="2" t="s">
        <v>1353</v>
      </c>
      <c r="C466" s="2"/>
      <c r="D466" s="2"/>
      <c r="E466" s="2"/>
      <c r="F466" s="2"/>
      <c r="G466" s="2"/>
      <c r="H466" s="2"/>
      <c r="I466" s="2" t="str">
        <f>TRIM(CLEAN(SUBSTITUTE(A466,CHAR(10)," ")))</f>
        <v>Shibam Coffee Mi</v>
      </c>
      <c r="J466" s="2" t="str">
        <f>TRIM(_xlfn.REGEXREPLACE(B466,",\s*[^,]+,\s*[A-Za-z]{2}\s*\d{5}",""))</f>
        <v>3730 Eastham Rd, Dearborn MI 48120</v>
      </c>
      <c r="K466" s="10" t="s">
        <v>1402</v>
      </c>
      <c r="L466" s="8" t="s">
        <v>139</v>
      </c>
      <c r="M466">
        <f>IF(OR(UPPER(E466)="UNITED STATES",UPPER(E466)="UNITED STATES OF AMERICA",UPPER(E466)="US",UPPER(E466)="USA"),"USA",E466)</f>
        <v>0</v>
      </c>
      <c r="N466" t="e" cm="1" vm="1">
        <f t="array" ref="N466">_xlfn.REGEXEXTRACT(F466,"\d{5}")</f>
        <v>#N/A</v>
      </c>
    </row>
    <row r="467" spans="1:14" ht="36" x14ac:dyDescent="0.15">
      <c r="A467" s="2" t="s">
        <v>721</v>
      </c>
      <c r="B467" s="2" t="s">
        <v>722</v>
      </c>
      <c r="C467" s="2"/>
      <c r="D467" s="2"/>
      <c r="E467" s="2"/>
      <c r="F467" s="2"/>
      <c r="G467" s="2"/>
      <c r="H467" s="2"/>
      <c r="I467" s="2" t="str">
        <f>TRIM(CLEAN(SUBSTITUTE(A467,CHAR(10)," ")))</f>
        <v>HARAZ COFFE HOUSE</v>
      </c>
      <c r="J467" s="2" t="str">
        <f>TRIM(_xlfn.REGEXREPLACE(B467,",\s*[^,]+,\s*[A-Za-z]{2}\s*\d{5}",""))</f>
        <v>4341 14th St #300</v>
      </c>
      <c r="K467" s="10" t="s">
        <v>230</v>
      </c>
      <c r="L467" s="8" t="s">
        <v>20</v>
      </c>
      <c r="M467">
        <f>IF(OR(UPPER(E467)="UNITED STATES",UPPER(E467)="UNITED STATES OF AMERICA",UPPER(E467)="US",UPPER(E467)="USA"),"USA",E467)</f>
        <v>0</v>
      </c>
      <c r="N467" t="e" cm="1" vm="1">
        <f t="array" ref="N467">_xlfn.REGEXEXTRACT(F467,"\d{5}")</f>
        <v>#N/A</v>
      </c>
    </row>
    <row r="468" spans="1:14" ht="60" x14ac:dyDescent="0.15">
      <c r="A468" s="2" t="s">
        <v>723</v>
      </c>
      <c r="B468" s="2" t="s">
        <v>724</v>
      </c>
      <c r="C468" s="2"/>
      <c r="D468" s="2"/>
      <c r="E468" s="2"/>
      <c r="F468" s="2"/>
      <c r="G468" s="2"/>
      <c r="H468" s="2"/>
      <c r="I468" s="2" t="str">
        <f>TRIM(CLEAN(SUBSTITUTE(A468,CHAR(10)," ")))</f>
        <v>Home Kabob &amp; Bakery</v>
      </c>
      <c r="J468" s="2" t="str">
        <f>TRIM(_xlfn.REGEXREPLACE(B468,",\s*[^,]+,\s*[A-Za-z]{2}\s*\d{5}",""))</f>
        <v>4550 Eldorado Pkwy STE 103</v>
      </c>
      <c r="K468" s="10" t="s">
        <v>615</v>
      </c>
      <c r="L468" s="8" t="s">
        <v>20</v>
      </c>
      <c r="M468">
        <f>IF(OR(UPPER(E468)="UNITED STATES",UPPER(E468)="UNITED STATES OF AMERICA",UPPER(E468)="US",UPPER(E468)="USA"),"USA",E468)</f>
        <v>0</v>
      </c>
      <c r="N468" t="e" cm="1" vm="1">
        <f t="array" ref="N468">_xlfn.REGEXEXTRACT(F468,"\d{5}")</f>
        <v>#N/A</v>
      </c>
    </row>
    <row r="469" spans="1:14" ht="48" x14ac:dyDescent="0.15">
      <c r="A469" s="2" t="s">
        <v>1241</v>
      </c>
      <c r="B469" s="2" t="s">
        <v>1242</v>
      </c>
      <c r="C469" s="2"/>
      <c r="D469" s="2"/>
      <c r="E469" s="2"/>
      <c r="F469" s="2"/>
      <c r="G469" s="2"/>
      <c r="H469" s="2"/>
      <c r="I469" s="2" t="str">
        <f>TRIM(CLEAN(SUBSTITUTE(A469,CHAR(10)," ")))</f>
        <v>QUALITY TRADE GROUP INC.</v>
      </c>
      <c r="J469" s="2" t="str">
        <f>TRIM(_xlfn.REGEXREPLACE(B469,",\s*[^,]+,\s*[A-Za-z]{2}\s*\d{5}",""))</f>
        <v>501 S Industrial Blvd</v>
      </c>
      <c r="K469" s="10" t="s">
        <v>224</v>
      </c>
      <c r="L469" s="8" t="s">
        <v>20</v>
      </c>
      <c r="M469">
        <f>IF(OR(UPPER(E469)="UNITED STATES",UPPER(E469)="UNITED STATES OF AMERICA",UPPER(E469)="US",UPPER(E469)="USA"),"USA",E469)</f>
        <v>0</v>
      </c>
      <c r="N469" t="e" cm="1" vm="1">
        <f t="array" ref="N469">_xlfn.REGEXEXTRACT(F469,"\d{5}")</f>
        <v>#N/A</v>
      </c>
    </row>
    <row r="470" spans="1:14" ht="60" x14ac:dyDescent="0.15">
      <c r="A470" s="2" t="s">
        <v>787</v>
      </c>
      <c r="B470" s="2" t="s">
        <v>788</v>
      </c>
      <c r="C470" s="2"/>
      <c r="D470" s="2"/>
      <c r="E470" s="2"/>
      <c r="F470" s="2"/>
      <c r="G470" s="2"/>
      <c r="H470" s="2"/>
      <c r="I470" s="2" t="str">
        <f>TRIM(CLEAN(SUBSTITUTE(A470,CHAR(10)," ")))</f>
        <v>Fimar Stone LLC</v>
      </c>
      <c r="J470" s="2" t="str">
        <f>TRIM(_xlfn.REGEXREPLACE(B470,",\s*[^,]+,\s*[A-Za-z]{2}\s*\d{5}",""))</f>
        <v>5072 Steadmont Dr unit b</v>
      </c>
      <c r="K470" s="10" t="s">
        <v>29</v>
      </c>
      <c r="L470" s="8" t="s">
        <v>20</v>
      </c>
      <c r="M470">
        <f>IF(OR(UPPER(E470)="UNITED STATES",UPPER(E470)="UNITED STATES OF AMERICA",UPPER(E470)="US",UPPER(E470)="USA"),"USA",E470)</f>
        <v>0</v>
      </c>
      <c r="N470" t="e" cm="1" vm="1">
        <f t="array" ref="N470">_xlfn.REGEXEXTRACT(F470,"\d{5}")</f>
        <v>#N/A</v>
      </c>
    </row>
    <row r="471" spans="1:14" ht="48" x14ac:dyDescent="0.15">
      <c r="A471" s="2" t="s">
        <v>847</v>
      </c>
      <c r="B471" s="2" t="s">
        <v>848</v>
      </c>
      <c r="C471" s="2"/>
      <c r="D471" s="2"/>
      <c r="E471" s="2"/>
      <c r="F471" s="2"/>
      <c r="G471" s="2"/>
      <c r="H471" s="2"/>
      <c r="I471" s="2" t="str">
        <f>TRIM(CLEAN(SUBSTITUTE(A471,CHAR(10)," ")))</f>
        <v>Star Mart Chevron</v>
      </c>
      <c r="J471" s="2" t="str">
        <f>TRIM(_xlfn.REGEXREPLACE(B471,",\s*[^,]+,\s*[A-Za-z]{2}\s*\d{5}",""))</f>
        <v>5080 Reading Rd Ste A Rosenberg TX 77417</v>
      </c>
      <c r="K471" s="10" t="s">
        <v>1079</v>
      </c>
      <c r="L471" s="8" t="s">
        <v>20</v>
      </c>
      <c r="M471">
        <f>IF(OR(UPPER(E471)="UNITED STATES",UPPER(E471)="UNITED STATES OF AMERICA",UPPER(E471)="US",UPPER(E471)="USA"),"USA",E471)</f>
        <v>0</v>
      </c>
      <c r="N471" t="e" cm="1" vm="1">
        <f t="array" ref="N471">_xlfn.REGEXEXTRACT(F471,"\d{5}")</f>
        <v>#N/A</v>
      </c>
    </row>
    <row r="472" spans="1:14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3"/>
    </row>
    <row r="473" spans="1:14" ht="60" x14ac:dyDescent="0.15">
      <c r="A473" s="2" t="s">
        <v>1243</v>
      </c>
      <c r="B473" s="2" t="s">
        <v>1244</v>
      </c>
      <c r="C473" s="2"/>
      <c r="D473" s="2"/>
      <c r="E473" s="2"/>
      <c r="F473" s="2"/>
      <c r="G473" s="2"/>
      <c r="H473" s="2"/>
      <c r="I473" s="2" t="str">
        <f>TRIM(CLEAN(SUBSTITUTE(A473,CHAR(10)," ")))</f>
        <v>Rahmani halal market LLC</v>
      </c>
      <c r="J473" s="2" t="str">
        <f>TRIM(_xlfn.REGEXREPLACE(B473,",\s*[^,]+,\s*[A-Za-z]{2}\s*\d{5}",""))</f>
        <v>5400 Woodway Dr Suite 100</v>
      </c>
      <c r="K473" s="10" t="s">
        <v>199</v>
      </c>
      <c r="L473" s="8" t="s">
        <v>20</v>
      </c>
      <c r="M473">
        <f>IF(OR(UPPER(E473)="UNITED STATES",UPPER(E473)="UNITED STATES OF AMERICA",UPPER(E473)="US",UPPER(E473)="USA"),"USA",E473)</f>
        <v>0</v>
      </c>
      <c r="N473" t="e" cm="1" vm="1">
        <f t="array" ref="N473">_xlfn.REGEXEXTRACT(F473,"\d{5}")</f>
        <v>#N/A</v>
      </c>
    </row>
    <row r="474" spans="1:14" ht="48" x14ac:dyDescent="0.15">
      <c r="A474" s="2" t="s">
        <v>1305</v>
      </c>
      <c r="B474" s="2" t="s">
        <v>1306</v>
      </c>
      <c r="C474" s="2"/>
      <c r="D474" s="2"/>
      <c r="E474" s="2" t="s">
        <v>10</v>
      </c>
      <c r="F474" s="2"/>
      <c r="G474" s="2"/>
      <c r="H474" s="2"/>
      <c r="I474" s="2" t="str">
        <f>TRIM(CLEAN(SUBSTITUTE(A474,CHAR(10)," ")))</f>
        <v>Dallah Mediterranean Cuisine</v>
      </c>
      <c r="J474" s="2" t="str">
        <f>TRIM(_xlfn.REGEXREPLACE(B474,",\s*[^,]+,\s*[A-Za-z]{2}\s*\d{5}",""))</f>
        <v>5450 Babcock Rd #112</v>
      </c>
      <c r="K474" s="10" t="s">
        <v>1260</v>
      </c>
      <c r="L474" s="8" t="s">
        <v>20</v>
      </c>
      <c r="M474" t="str">
        <f>IF(OR(UPPER(E474)="UNITED STATES",UPPER(E474)="UNITED STATES OF AMERICA",UPPER(E474)="US",UPPER(E474)="USA"),"USA",E474)</f>
        <v>USA</v>
      </c>
      <c r="N474" t="e" cm="1" vm="1">
        <f t="array" ref="N474">_xlfn.REGEXEXTRACT(F474,"\d{5}")</f>
        <v>#N/A</v>
      </c>
    </row>
    <row r="475" spans="1:14" ht="36" x14ac:dyDescent="0.15">
      <c r="A475" s="2" t="s">
        <v>295</v>
      </c>
      <c r="B475" s="2" t="s">
        <v>296</v>
      </c>
      <c r="C475" s="2"/>
      <c r="D475" s="2"/>
      <c r="E475" s="2" t="s">
        <v>10</v>
      </c>
      <c r="F475" s="2" t="s">
        <v>231</v>
      </c>
      <c r="G475" s="2"/>
      <c r="H475" s="2"/>
      <c r="I475" s="2" t="str">
        <f>TRIM(CLEAN(SUBSTITUTE(A475,CHAR(10)," ")))</f>
        <v>Brij Foods LLC, Spitz Plano</v>
      </c>
      <c r="J475" s="2" t="str">
        <f>TRIM(_xlfn.REGEXREPLACE(B475,",\s*[^,]+,\s*[A-Za-z]{2}\s*\d{5}",""))</f>
        <v>565 Coit Rd, suite 700, plano tx 75075</v>
      </c>
      <c r="K475" s="10" t="s">
        <v>230</v>
      </c>
      <c r="L475" s="8" t="s">
        <v>20</v>
      </c>
      <c r="M475" t="str">
        <f>IF(OR(UPPER(E475)="UNITED STATES",UPPER(E475)="UNITED STATES OF AMERICA",UPPER(E475)="US",UPPER(E475)="USA"),"USA",E475)</f>
        <v>USA</v>
      </c>
      <c r="N475" t="str" cm="1">
        <f t="array" ref="N475">_xlfn.REGEXEXTRACT(F475,"\d{5}")</f>
        <v>75075</v>
      </c>
    </row>
    <row r="476" spans="1:14" ht="48" x14ac:dyDescent="0.15">
      <c r="A476" s="2" t="s">
        <v>659</v>
      </c>
      <c r="B476" s="2" t="s">
        <v>660</v>
      </c>
      <c r="C476" s="2"/>
      <c r="D476" s="2"/>
      <c r="E476" s="2"/>
      <c r="F476" s="2"/>
      <c r="G476" s="2"/>
      <c r="H476" s="2"/>
      <c r="I476" s="2" t="str">
        <f>TRIM(CLEAN(SUBSTITUTE(A476,CHAR(10)," ")))</f>
        <v>Discount Smart Home Plus</v>
      </c>
      <c r="J476" s="2" t="str">
        <f>TRIM(_xlfn.REGEXREPLACE(B476,",\s*[^,]+,\s*[A-Za-z]{2}\s*\d{5}",""))</f>
        <v>5716 Bellaire Blvd suite a</v>
      </c>
      <c r="K476" s="10" t="s">
        <v>29</v>
      </c>
      <c r="L476" s="8" t="s">
        <v>20</v>
      </c>
      <c r="M476">
        <f>IF(OR(UPPER(E476)="UNITED STATES",UPPER(E476)="UNITED STATES OF AMERICA",UPPER(E476)="US",UPPER(E476)="USA"),"USA",E476)</f>
        <v>0</v>
      </c>
      <c r="N476" t="e" cm="1" vm="1">
        <f t="array" ref="N476">_xlfn.REGEXEXTRACT(F476,"\d{5}")</f>
        <v>#N/A</v>
      </c>
    </row>
    <row r="477" spans="1:14" ht="60" x14ac:dyDescent="0.15">
      <c r="A477" s="2" t="s">
        <v>1225</v>
      </c>
      <c r="B477" s="2" t="s">
        <v>1226</v>
      </c>
      <c r="C477" s="2"/>
      <c r="D477" s="2"/>
      <c r="E477" s="2"/>
      <c r="F477" s="2"/>
      <c r="G477" s="2"/>
      <c r="H477" s="2"/>
      <c r="I477" s="2" t="str">
        <f>TRIM(CLEAN(SUBSTITUTE(A477,CHAR(10)," ")))</f>
        <v>Peace Middle East cafe</v>
      </c>
      <c r="J477" s="2" t="str">
        <f>TRIM(_xlfn.REGEXREPLACE(B477,",\s*[^,]+,\s*[A-Za-z]{2}\s*\d{5}",""))</f>
        <v>581 W Campbell Rd #125</v>
      </c>
      <c r="K477" s="10" t="s">
        <v>207</v>
      </c>
      <c r="L477" s="8" t="s">
        <v>20</v>
      </c>
      <c r="M477">
        <f>IF(OR(UPPER(E477)="UNITED STATES",UPPER(E477)="UNITED STATES OF AMERICA",UPPER(E477)="US",UPPER(E477)="USA"),"USA",E477)</f>
        <v>0</v>
      </c>
      <c r="N477" t="e" cm="1" vm="1">
        <f t="array" ref="N477">_xlfn.REGEXEXTRACT(F477,"\d{5}")</f>
        <v>#N/A</v>
      </c>
    </row>
    <row r="478" spans="1:14" ht="48" x14ac:dyDescent="0.15">
      <c r="A478" s="2" t="s">
        <v>1037</v>
      </c>
      <c r="B478" s="2" t="s">
        <v>1038</v>
      </c>
      <c r="C478" s="2"/>
      <c r="D478" s="2"/>
      <c r="E478" s="2" t="s">
        <v>10</v>
      </c>
      <c r="F478" s="2"/>
      <c r="G478" s="2"/>
      <c r="H478" s="2"/>
      <c r="I478" s="2" t="str">
        <f>TRIM(CLEAN(SUBSTITUTE(A478,CHAR(10)," ")))</f>
        <v>Patio By Lapasha</v>
      </c>
      <c r="J478" s="2" t="str">
        <f>TRIM(_xlfn.REGEXREPLACE(B478,",\s*[^,]+,\s*[A-Za-z]{2}\s*\d{5}",""))</f>
        <v>5810 Beverly Hill St</v>
      </c>
      <c r="K478" s="10" t="s">
        <v>29</v>
      </c>
      <c r="L478" s="8" t="s">
        <v>20</v>
      </c>
      <c r="M478" t="str">
        <f>IF(OR(UPPER(E478)="UNITED STATES",UPPER(E478)="UNITED STATES OF AMERICA",UPPER(E478)="US",UPPER(E478)="USA"),"USA",E478)</f>
        <v>USA</v>
      </c>
      <c r="N478" t="e" cm="1" vm="1">
        <f t="array" ref="N478">_xlfn.REGEXEXTRACT(F478,"\d{5}")</f>
        <v>#N/A</v>
      </c>
    </row>
    <row r="479" spans="1:14" ht="36" x14ac:dyDescent="0.15">
      <c r="A479" s="2" t="s">
        <v>94</v>
      </c>
      <c r="B479" s="9" t="s">
        <v>1403</v>
      </c>
      <c r="C479" s="2"/>
      <c r="D479" s="2" t="s">
        <v>15</v>
      </c>
      <c r="E479" s="2" t="s">
        <v>95</v>
      </c>
      <c r="F479" s="2" t="s">
        <v>96</v>
      </c>
      <c r="G479" s="2"/>
      <c r="H479" s="2"/>
      <c r="I479" s="2" t="str">
        <f>TRIM(CLEAN(SUBSTITUTE(A479,CHAR(10)," ")))</f>
        <v>TOBA HOLDINGS LLC</v>
      </c>
      <c r="J479" s="2" t="str">
        <f>TRIM(_xlfn.REGEXREPLACE(B479,",\s*[^,]+,\s*[A-Za-z]{2}\s*\d{5}",""))</f>
        <v>5900 BALCONES DR STE 100</v>
      </c>
      <c r="K479" s="10" t="s">
        <v>74</v>
      </c>
      <c r="L479" t="str">
        <f>UPPER(LEFT(TRIM(D479),2))</f>
        <v>TX</v>
      </c>
      <c r="M479" t="str">
        <f>IF(OR(UPPER(E479)="UNITED STATES",UPPER(E479)="UNITED STATES OF AMERICA",UPPER(E479)="US",UPPER(E479)="USA"),"USA",E479)</f>
        <v>USA</v>
      </c>
      <c r="N479" t="e" cm="1" vm="1">
        <f t="array" ref="N479">_xlfn.REGEXEXTRACT(F479,"\d{5}")</f>
        <v>#N/A</v>
      </c>
    </row>
    <row r="480" spans="1:14" ht="48" x14ac:dyDescent="0.15">
      <c r="A480" s="2" t="s">
        <v>686</v>
      </c>
      <c r="B480" s="2" t="s">
        <v>687</v>
      </c>
      <c r="C480" s="2"/>
      <c r="D480" s="2"/>
      <c r="E480" s="2"/>
      <c r="F480" s="2"/>
      <c r="G480" s="2"/>
      <c r="H480" s="2"/>
      <c r="I480" s="2" t="str">
        <f>TRIM(CLEAN(SUBSTITUTE(A480,CHAR(10)," ")))</f>
        <v>Food4thought</v>
      </c>
      <c r="J480" s="2" t="str">
        <f>TRIM(_xlfn.REGEXREPLACE(B480,",\s*[^,]+,\s*[A-Za-z]{2}\s*\d{5}",""))</f>
        <v>5909 Washington Ave houston Tx 77007</v>
      </c>
      <c r="K480" s="10" t="s">
        <v>29</v>
      </c>
      <c r="L480" s="8" t="s">
        <v>20</v>
      </c>
      <c r="M480">
        <f>IF(OR(UPPER(E480)="UNITED STATES",UPPER(E480)="UNITED STATES OF AMERICA",UPPER(E480)="US",UPPER(E480)="USA"),"USA",E480)</f>
        <v>0</v>
      </c>
      <c r="N480" t="e" cm="1" vm="1">
        <f t="array" ref="N480">_xlfn.REGEXEXTRACT(F480,"\d{5}")</f>
        <v>#N/A</v>
      </c>
    </row>
    <row r="481" spans="1:14" ht="60" x14ac:dyDescent="0.15">
      <c r="A481" s="2" t="s">
        <v>1138</v>
      </c>
      <c r="B481" s="2" t="s">
        <v>1139</v>
      </c>
      <c r="C481" s="2"/>
      <c r="D481" s="2"/>
      <c r="E481" s="2"/>
      <c r="F481" s="2"/>
      <c r="G481" s="2"/>
      <c r="H481" s="2"/>
      <c r="I481" s="2" t="str">
        <f>TRIM(CLEAN(SUBSTITUTE(A481,CHAR(10)," ")))</f>
        <v>La Shish greek Mediterranean</v>
      </c>
      <c r="J481" s="2" t="str">
        <f>TRIM(_xlfn.REGEXREPLACE(B481,",\s*[^,]+,\s*[A-Za-z]{2}\s*\d{5}",""))</f>
        <v>600 E Main St
AMIR ALJAZAERLI</v>
      </c>
      <c r="K481" s="10" t="s">
        <v>418</v>
      </c>
      <c r="L481" s="8" t="s">
        <v>20</v>
      </c>
      <c r="M481">
        <f>IF(OR(UPPER(E481)="UNITED STATES",UPPER(E481)="UNITED STATES OF AMERICA",UPPER(E481)="US",UPPER(E481)="USA"),"USA",E481)</f>
        <v>0</v>
      </c>
      <c r="N481" t="e" cm="1" vm="1">
        <f t="array" ref="N481">_xlfn.REGEXEXTRACT(F481,"\d{5}")</f>
        <v>#N/A</v>
      </c>
    </row>
    <row r="482" spans="1:14" ht="48" x14ac:dyDescent="0.15">
      <c r="A482" s="2" t="s">
        <v>585</v>
      </c>
      <c r="B482" s="2" t="s">
        <v>586</v>
      </c>
      <c r="C482" s="2"/>
      <c r="D482" s="2"/>
      <c r="E482" s="2" t="s">
        <v>10</v>
      </c>
      <c r="F482" s="2"/>
      <c r="G482" s="2"/>
      <c r="H482" s="2"/>
      <c r="I482" s="2" t="str">
        <f>TRIM(CLEAN(SUBSTITUTE(A482,CHAR(10)," ")))</f>
        <v>Selda Mediterranean Kitchen &amp; Bar</v>
      </c>
      <c r="J482" s="2" t="str">
        <f>TRIM(_xlfn.REGEXREPLACE(B482,",\s*[^,]+,\s*[A-Za-z]{2}\s*\d{5}",""))</f>
        <v>6006 Belt Line Rd</v>
      </c>
      <c r="K482" s="10" t="s">
        <v>201</v>
      </c>
      <c r="L482" s="8" t="s">
        <v>20</v>
      </c>
      <c r="M482" t="str">
        <f>IF(OR(UPPER(E482)="UNITED STATES",UPPER(E482)="UNITED STATES OF AMERICA",UPPER(E482)="US",UPPER(E482)="USA"),"USA",E482)</f>
        <v>USA</v>
      </c>
      <c r="N482" t="e" cm="1" vm="1">
        <f t="array" ref="N482">_xlfn.REGEXEXTRACT(F482,"\d{5}")</f>
        <v>#N/A</v>
      </c>
    </row>
    <row r="483" spans="1:14" ht="48" x14ac:dyDescent="0.15">
      <c r="A483" s="2" t="s">
        <v>189</v>
      </c>
      <c r="B483" s="2" t="s">
        <v>190</v>
      </c>
      <c r="C483" s="2"/>
      <c r="D483" s="2"/>
      <c r="E483" s="2"/>
      <c r="F483" s="2"/>
      <c r="G483" s="2"/>
      <c r="H483" s="2"/>
      <c r="I483" s="2" t="str">
        <f>TRIM(CLEAN(SUBSTITUTE(A483,CHAR(10)," ")))</f>
        <v>Dafne Mediterranean Food &amp; Pizzas</v>
      </c>
      <c r="J483" s="2" t="str">
        <f>TRIM(_xlfn.REGEXREPLACE(B483,",\s*[^,]+,\s*[A-Za-z]{2}\s*\d{5}",""))</f>
        <v>6031 Hwy 6 N #190</v>
      </c>
      <c r="K483" s="10" t="s">
        <v>29</v>
      </c>
      <c r="L483" s="8" t="s">
        <v>20</v>
      </c>
      <c r="M483">
        <f>IF(OR(UPPER(E483)="UNITED STATES",UPPER(E483)="UNITED STATES OF AMERICA",UPPER(E483)="US",UPPER(E483)="USA"),"USA",E483)</f>
        <v>0</v>
      </c>
      <c r="N483" t="e" cm="1" vm="1">
        <f t="array" ref="N483">_xlfn.REGEXEXTRACT(F483,"\d{5}")</f>
        <v>#N/A</v>
      </c>
    </row>
    <row r="484" spans="1:14" ht="36" x14ac:dyDescent="0.15">
      <c r="A484" s="2" t="s">
        <v>719</v>
      </c>
      <c r="B484" s="2" t="s">
        <v>720</v>
      </c>
      <c r="C484" s="2"/>
      <c r="D484" s="2"/>
      <c r="E484" s="2"/>
      <c r="F484" s="2"/>
      <c r="G484" s="2"/>
      <c r="H484" s="2"/>
      <c r="I484" s="2" t="str">
        <f>TRIM(CLEAN(SUBSTITUTE(A484,CHAR(10)," ")))</f>
        <v>Hala Cafe</v>
      </c>
      <c r="J484" s="2" t="str">
        <f>TRIM(_xlfn.REGEXREPLACE(B484,",\s*[^,]+,\s*[A-Za-z]{2}\s*\d{5}",""))</f>
        <v>605 N Main St</v>
      </c>
      <c r="K484" s="10" t="s">
        <v>1404</v>
      </c>
      <c r="L484" s="8" t="s">
        <v>20</v>
      </c>
      <c r="M484">
        <f>IF(OR(UPPER(E484)="UNITED STATES",UPPER(E484)="UNITED STATES OF AMERICA",UPPER(E484)="US",UPPER(E484)="USA"),"USA",E484)</f>
        <v>0</v>
      </c>
      <c r="N484" t="e" cm="1" vm="1">
        <f t="array" ref="N484">_xlfn.REGEXEXTRACT(F484,"\d{5}")</f>
        <v>#N/A</v>
      </c>
    </row>
    <row r="485" spans="1:14" ht="60" x14ac:dyDescent="0.15">
      <c r="A485" s="2" t="s">
        <v>998</v>
      </c>
      <c r="B485" s="2" t="s">
        <v>999</v>
      </c>
      <c r="C485" s="2"/>
      <c r="D485" s="2"/>
      <c r="E485" s="2" t="s">
        <v>10</v>
      </c>
      <c r="F485" s="2"/>
      <c r="G485" s="2"/>
      <c r="H485" s="2"/>
      <c r="I485" s="2" t="str">
        <f>TRIM(CLEAN(SUBSTITUTE(A485,CHAR(10)," ")))</f>
        <v>LAYAL RESTAURANT (AJDL LLC)</v>
      </c>
      <c r="J485" s="2" t="str">
        <f>TRIM(_xlfn.REGEXREPLACE(B485,",\s*[^,]+,\s*[A-Za-z]{2}\s*\d{5}",""))</f>
        <v>6328 Richmond Ave.</v>
      </c>
      <c r="K485" s="10" t="s">
        <v>29</v>
      </c>
      <c r="L485" s="8" t="s">
        <v>20</v>
      </c>
      <c r="M485" t="str">
        <f>IF(OR(UPPER(E485)="UNITED STATES",UPPER(E485)="UNITED STATES OF AMERICA",UPPER(E485)="US",UPPER(E485)="USA"),"USA",E485)</f>
        <v>USA</v>
      </c>
      <c r="N485" t="e" cm="1" vm="1">
        <f t="array" ref="N485">_xlfn.REGEXEXTRACT(F485,"\d{5}")</f>
        <v>#N/A</v>
      </c>
    </row>
    <row r="486" spans="1:14" ht="48" x14ac:dyDescent="0.15">
      <c r="A486" s="2" t="s">
        <v>521</v>
      </c>
      <c r="B486" s="2" t="s">
        <v>522</v>
      </c>
      <c r="C486" s="2"/>
      <c r="D486" s="2"/>
      <c r="E486" s="2" t="s">
        <v>10</v>
      </c>
      <c r="F486" s="2"/>
      <c r="G486" s="2"/>
      <c r="H486" s="2"/>
      <c r="I486" s="2" t="str">
        <f>TRIM(CLEAN(SUBSTITUTE(A486,CHAR(10)," ")))</f>
        <v>Mustafa Gurkan</v>
      </c>
      <c r="J486" s="2" t="str">
        <f>TRIM(_xlfn.REGEXREPLACE(B486,",\s*[^,]+,\s*[A-Za-z]{2}\s*\d{5}",""))</f>
        <v>635 Town Square Blvd</v>
      </c>
      <c r="K486" s="10" t="s">
        <v>237</v>
      </c>
      <c r="L486" s="8" t="s">
        <v>20</v>
      </c>
      <c r="M486" t="str">
        <f>IF(OR(UPPER(E486)="UNITED STATES",UPPER(E486)="UNITED STATES OF AMERICA",UPPER(E486)="US",UPPER(E486)="USA"),"USA",E486)</f>
        <v>USA</v>
      </c>
      <c r="N486" t="e" cm="1" vm="1">
        <f t="array" ref="N486">_xlfn.REGEXEXTRACT(F486,"\d{5}")</f>
        <v>#N/A</v>
      </c>
    </row>
    <row r="487" spans="1:14" ht="48" x14ac:dyDescent="0.15">
      <c r="A487" s="2" t="s">
        <v>1367</v>
      </c>
      <c r="B487" s="2" t="s">
        <v>522</v>
      </c>
      <c r="C487" s="2"/>
      <c r="D487" s="2"/>
      <c r="E487" s="2"/>
      <c r="F487" s="2"/>
      <c r="G487" s="2"/>
      <c r="H487" s="2"/>
      <c r="I487" s="2" t="str">
        <f>TRIM(CLEAN(SUBSTITUTE(A487,CHAR(10)," ")))</f>
        <v>subra NARRAVULA</v>
      </c>
      <c r="J487" s="2" t="str">
        <f>TRIM(_xlfn.REGEXREPLACE(B487,",\s*[^,]+,\s*[A-Za-z]{2}\s*\d{5}",""))</f>
        <v>635 Town Square Blvd</v>
      </c>
      <c r="K487" s="10" t="s">
        <v>237</v>
      </c>
      <c r="L487" s="8" t="s">
        <v>20</v>
      </c>
      <c r="M487">
        <f>IF(OR(UPPER(E487)="UNITED STATES",UPPER(E487)="UNITED STATES OF AMERICA",UPPER(E487)="US",UPPER(E487)="USA"),"USA",E487)</f>
        <v>0</v>
      </c>
      <c r="N487" t="e" cm="1" vm="1">
        <f t="array" ref="N487">_xlfn.REGEXEXTRACT(F487,"\d{5}")</f>
        <v>#N/A</v>
      </c>
    </row>
    <row r="488" spans="1:14" ht="48" x14ac:dyDescent="0.15">
      <c r="A488" s="2" t="s">
        <v>717</v>
      </c>
      <c r="B488" s="2" t="s">
        <v>718</v>
      </c>
      <c r="C488" s="2"/>
      <c r="D488" s="2"/>
      <c r="E488" s="2"/>
      <c r="F488" s="2"/>
      <c r="G488" s="2"/>
      <c r="H488" s="2"/>
      <c r="I488" s="2" t="str">
        <f>TRIM(CLEAN(SUBSTITUTE(A488,CHAR(10)," ")))</f>
        <v>H.E.B</v>
      </c>
      <c r="J488" s="2" t="str">
        <f>TRIM(_xlfn.REGEXREPLACE(B488,",\s*[^,]+,\s*[A-Za-z]{2}\s*\d{5}",""))</f>
        <v>646 S. Flores St. | San Antonio, TX 78204</v>
      </c>
      <c r="K488" s="10" t="s">
        <v>1260</v>
      </c>
      <c r="L488" s="8" t="s">
        <v>20</v>
      </c>
      <c r="M488">
        <f>IF(OR(UPPER(E488)="UNITED STATES",UPPER(E488)="UNITED STATES OF AMERICA",UPPER(E488)="US",UPPER(E488)="USA"),"USA",E488)</f>
        <v>0</v>
      </c>
      <c r="N488" t="e" cm="1" vm="1">
        <f t="array" ref="N488">_xlfn.REGEXEXTRACT(F488,"\d{5}")</f>
        <v>#N/A</v>
      </c>
    </row>
    <row r="489" spans="1:14" ht="60" x14ac:dyDescent="0.15">
      <c r="A489" s="2" t="s">
        <v>1047</v>
      </c>
      <c r="B489" s="2" t="s">
        <v>1048</v>
      </c>
      <c r="C489" s="2"/>
      <c r="D489" s="2"/>
      <c r="E489" s="2" t="s">
        <v>10</v>
      </c>
      <c r="F489" s="2"/>
      <c r="G489" s="2"/>
      <c r="H489" s="2"/>
      <c r="I489" s="2" t="str">
        <f>TRIM(CLEAN(SUBSTITUTE(A489,CHAR(10)," ")))</f>
        <v>Royal Roastery</v>
      </c>
      <c r="J489" s="2" t="str">
        <f>TRIM(_xlfn.REGEXREPLACE(B489,",\s*[^,]+,\s*[A-Za-z]{2}\s*\d{5}",""))</f>
        <v>6467 Westheimer Rd A</v>
      </c>
      <c r="K489" s="10" t="s">
        <v>29</v>
      </c>
      <c r="L489" s="8" t="s">
        <v>20</v>
      </c>
      <c r="M489" t="str">
        <f>IF(OR(UPPER(E489)="UNITED STATES",UPPER(E489)="UNITED STATES OF AMERICA",UPPER(E489)="US",UPPER(E489)="USA"),"USA",E489)</f>
        <v>USA</v>
      </c>
      <c r="N489" t="e" cm="1" vm="1">
        <f t="array" ref="N489">_xlfn.REGEXEXTRACT(F489,"\d{5}")</f>
        <v>#N/A</v>
      </c>
    </row>
    <row r="490" spans="1:14" ht="48" x14ac:dyDescent="0.15">
      <c r="A490" s="2" t="s">
        <v>1288</v>
      </c>
      <c r="B490" s="2" t="s">
        <v>1289</v>
      </c>
      <c r="C490" s="2"/>
      <c r="D490" s="2"/>
      <c r="E490" s="2"/>
      <c r="F490" s="2"/>
      <c r="G490" s="2"/>
      <c r="H490" s="2"/>
      <c r="I490" s="2" t="str">
        <f>TRIM(CLEAN(SUBSTITUTE(A490,CHAR(10)," ")))</f>
        <v>San Antonio Cig Kofte</v>
      </c>
      <c r="J490" s="2" t="str">
        <f>TRIM(_xlfn.REGEXREPLACE(B490,",\s*[^,]+,\s*[A-Za-z]{2}\s*\d{5}",""))</f>
        <v>6502 Falcons heights San Antonio, TX 78233</v>
      </c>
      <c r="K490" s="10" t="s">
        <v>1260</v>
      </c>
      <c r="L490" s="8" t="s">
        <v>20</v>
      </c>
      <c r="M490">
        <f>IF(OR(UPPER(E490)="UNITED STATES",UPPER(E490)="UNITED STATES OF AMERICA",UPPER(E490)="US",UPPER(E490)="USA"),"USA",E490)</f>
        <v>0</v>
      </c>
      <c r="N490" t="e" cm="1" vm="1">
        <f t="array" ref="N490">_xlfn.REGEXEXTRACT(F490,"\d{5}")</f>
        <v>#N/A</v>
      </c>
    </row>
    <row r="491" spans="1:14" ht="48" x14ac:dyDescent="0.15">
      <c r="A491" s="2" t="s">
        <v>604</v>
      </c>
      <c r="B491" s="2" t="s">
        <v>605</v>
      </c>
      <c r="C491" s="2"/>
      <c r="D491" s="2"/>
      <c r="E491" s="2" t="s">
        <v>10</v>
      </c>
      <c r="F491" s="2"/>
      <c r="G491" s="2"/>
      <c r="H491" s="2"/>
      <c r="I491" s="2" t="str">
        <f>TRIM(CLEAN(SUBSTITUTE(A491,CHAR(10)," ")))</f>
        <v>Spitz Frisco</v>
      </c>
      <c r="J491" s="2" t="str">
        <f>TRIM(_xlfn.REGEXREPLACE(B491,",\s*[^,]+,\s*[A-Za-z]{2}\s*\d{5}",""))</f>
        <v>6851 Warren Pkwy Suite 201</v>
      </c>
      <c r="K491" s="10" t="s">
        <v>148</v>
      </c>
      <c r="L491" s="8" t="s">
        <v>20</v>
      </c>
      <c r="M491" t="str">
        <f>IF(OR(UPPER(E491)="UNITED STATES",UPPER(E491)="UNITED STATES OF AMERICA",UPPER(E491)="US",UPPER(E491)="USA"),"USA",E491)</f>
        <v>USA</v>
      </c>
      <c r="N491" t="e" cm="1" vm="1">
        <f t="array" ref="N491">_xlfn.REGEXEXTRACT(F491,"\d{5}")</f>
        <v>#N/A</v>
      </c>
    </row>
    <row r="492" spans="1:14" ht="48" x14ac:dyDescent="0.15">
      <c r="A492" s="2" t="s">
        <v>510</v>
      </c>
      <c r="B492" s="2" t="s">
        <v>511</v>
      </c>
      <c r="C492" s="2"/>
      <c r="D492" s="2"/>
      <c r="E492" s="2" t="s">
        <v>10</v>
      </c>
      <c r="F492" s="2"/>
      <c r="G492" s="2"/>
      <c r="H492" s="2"/>
      <c r="I492" s="2" t="str">
        <f>TRIM(CLEAN(SUBSTITUTE(A492,CHAR(10)," ")))</f>
        <v>LEZZET KAFE</v>
      </c>
      <c r="J492" s="2" t="str">
        <f>TRIM(_xlfn.REGEXREPLACE(B492,",\s*[^,]+,\s*[A-Za-z]{2}\s*\d{5}",""))</f>
        <v>6869 Frankford Rd #100</v>
      </c>
      <c r="K492" s="10" t="s">
        <v>201</v>
      </c>
      <c r="L492" s="8" t="s">
        <v>20</v>
      </c>
      <c r="M492" t="str">
        <f>IF(OR(UPPER(E492)="UNITED STATES",UPPER(E492)="UNITED STATES OF AMERICA",UPPER(E492)="US",UPPER(E492)="USA"),"USA",E492)</f>
        <v>USA</v>
      </c>
      <c r="N492" t="e" cm="1" vm="1">
        <f t="array" ref="N492">_xlfn.REGEXEXTRACT(F492,"\d{5}")</f>
        <v>#N/A</v>
      </c>
    </row>
    <row r="493" spans="1:14" ht="48" x14ac:dyDescent="0.15">
      <c r="A493" s="2" t="s">
        <v>976</v>
      </c>
      <c r="B493" s="2" t="s">
        <v>977</v>
      </c>
      <c r="C493" s="2"/>
      <c r="D493" s="2"/>
      <c r="E493" s="2"/>
      <c r="F493" s="2"/>
      <c r="G493" s="2"/>
      <c r="H493" s="2"/>
      <c r="I493" s="2" t="str">
        <f>TRIM(CLEAN(SUBSTITUTE(A493,CHAR(10)," ")))</f>
        <v>Houston Halal Supermarket</v>
      </c>
      <c r="J493" s="2" t="str">
        <f>TRIM(_xlfn.REGEXREPLACE(B493,",\s*[^,]+,\s*[A-Za-z]{2}\s*\d{5}",""))</f>
        <v>6959 Harwin Dr. suite 100</v>
      </c>
      <c r="K493" s="10" t="s">
        <v>29</v>
      </c>
      <c r="L493" s="8" t="s">
        <v>20</v>
      </c>
      <c r="M493">
        <f>IF(OR(UPPER(E493)="UNITED STATES",UPPER(E493)="UNITED STATES OF AMERICA",UPPER(E493)="US",UPPER(E493)="USA"),"USA",E493)</f>
        <v>0</v>
      </c>
      <c r="N493" t="e" cm="1" vm="1">
        <f t="array" ref="N493">_xlfn.REGEXEXTRACT(F493,"\d{5}")</f>
        <v>#N/A</v>
      </c>
    </row>
    <row r="494" spans="1:14" ht="48" x14ac:dyDescent="0.15">
      <c r="A494" s="2" t="s">
        <v>1206</v>
      </c>
      <c r="B494" s="2" t="s">
        <v>1207</v>
      </c>
      <c r="C494" s="2"/>
      <c r="D494" s="2"/>
      <c r="E494" s="2"/>
      <c r="F494" s="2"/>
      <c r="G494" s="2"/>
      <c r="H494" s="2"/>
      <c r="I494" s="2" t="str">
        <f>TRIM(CLEAN(SUBSTITUTE(A494,CHAR(10)," ")))</f>
        <v>New Iqra World Food Market</v>
      </c>
      <c r="J494" s="2" t="str">
        <f>TRIM(_xlfn.REGEXREPLACE(B494,",\s*[^,]+,\s*[A-Za-z]{2}\s*\d{5}",""))</f>
        <v>7031 FM 1960</v>
      </c>
      <c r="K494" s="10" t="s">
        <v>1405</v>
      </c>
      <c r="L494" s="8" t="s">
        <v>20</v>
      </c>
      <c r="M494">
        <f>IF(OR(UPPER(E494)="UNITED STATES",UPPER(E494)="UNITED STATES OF AMERICA",UPPER(E494)="US",UPPER(E494)="USA"),"USA",E494)</f>
        <v>0</v>
      </c>
      <c r="N494" t="e" cm="1" vm="1">
        <f t="array" ref="N494">_xlfn.REGEXEXTRACT(F494,"\d{5}")</f>
        <v>#N/A</v>
      </c>
    </row>
    <row r="495" spans="1:14" ht="48" x14ac:dyDescent="0.15">
      <c r="A495" s="2" t="s">
        <v>1195</v>
      </c>
      <c r="B495" s="2" t="s">
        <v>1196</v>
      </c>
      <c r="C495" s="2"/>
      <c r="D495" s="2"/>
      <c r="E495" s="2"/>
      <c r="F495" s="2"/>
      <c r="G495" s="2"/>
      <c r="H495" s="2"/>
      <c r="I495" s="2" t="str">
        <f>TRIM(CLEAN(SUBSTITUTE(A495,CHAR(10)," ")))</f>
        <v>Mr Baguette</v>
      </c>
      <c r="J495" s="2" t="str">
        <f>TRIM(_xlfn.REGEXREPLACE(B495,",\s*[^,]+,\s*[A-Za-z]{2}\s*\d{5}",""))</f>
        <v>7301 Matlock Rd suite #127</v>
      </c>
      <c r="K495" s="10" t="s">
        <v>368</v>
      </c>
      <c r="L495" s="8" t="s">
        <v>20</v>
      </c>
      <c r="M495">
        <f>IF(OR(UPPER(E495)="UNITED STATES",UPPER(E495)="UNITED STATES OF AMERICA",UPPER(E495)="US",UPPER(E495)="USA"),"USA",E495)</f>
        <v>0</v>
      </c>
      <c r="N495" t="e" cm="1" vm="1">
        <f t="array" ref="N495">_xlfn.REGEXEXTRACT(F495,"\d{5}")</f>
        <v>#N/A</v>
      </c>
    </row>
    <row r="496" spans="1:14" ht="48" x14ac:dyDescent="0.15">
      <c r="A496" s="2" t="s">
        <v>191</v>
      </c>
      <c r="B496" s="2" t="s">
        <v>192</v>
      </c>
      <c r="C496" s="2"/>
      <c r="D496" s="2"/>
      <c r="E496" s="2"/>
      <c r="F496" s="2"/>
      <c r="G496" s="2"/>
      <c r="H496" s="2"/>
      <c r="I496" s="2" t="str">
        <f>TRIM(CLEAN(SUBSTITUTE(A496,CHAR(10)," ")))</f>
        <v>Dana Bazar - Indian Grocery Store</v>
      </c>
      <c r="J496" s="2" t="str">
        <f>TRIM(_xlfn.REGEXREPLACE(B496,",\s*[^,]+,\s*[A-Za-z]{2}\s*\d{5}",""))</f>
        <v>751 W Lamar Blvd #101</v>
      </c>
      <c r="K496" s="10" t="s">
        <v>368</v>
      </c>
      <c r="L496" s="8" t="s">
        <v>20</v>
      </c>
      <c r="M496">
        <f>IF(OR(UPPER(E496)="UNITED STATES",UPPER(E496)="UNITED STATES OF AMERICA",UPPER(E496)="US",UPPER(E496)="USA"),"USA",E496)</f>
        <v>0</v>
      </c>
      <c r="N496" t="e" cm="1" vm="1">
        <f t="array" ref="N496">_xlfn.REGEXEXTRACT(F496,"\d{5}")</f>
        <v>#N/A</v>
      </c>
    </row>
    <row r="497" spans="1:14" ht="48" x14ac:dyDescent="0.15">
      <c r="A497" s="2" t="s">
        <v>326</v>
      </c>
      <c r="B497" s="2" t="s">
        <v>327</v>
      </c>
      <c r="C497" s="2"/>
      <c r="D497" s="2"/>
      <c r="E497" s="2" t="s">
        <v>10</v>
      </c>
      <c r="F497" s="2"/>
      <c r="G497" s="2"/>
      <c r="H497" s="2"/>
      <c r="I497" s="2" t="str">
        <f>TRIM(CLEAN(SUBSTITUTE(A497,CHAR(10)," ")))</f>
        <v>Darna Mediterranean Eatery</v>
      </c>
      <c r="J497" s="2" t="str">
        <f>TRIM(_xlfn.REGEXREPLACE(B497,",\s*[^,]+,\s*[A-Za-z]{2}\s*\d{5}",""))</f>
        <v>7700 Windrose Ave.</v>
      </c>
      <c r="K497" s="10" t="s">
        <v>230</v>
      </c>
      <c r="L497" s="8" t="s">
        <v>20</v>
      </c>
      <c r="M497" t="str">
        <f>IF(OR(UPPER(E497)="UNITED STATES",UPPER(E497)="UNITED STATES OF AMERICA",UPPER(E497)="US",UPPER(E497)="USA"),"USA",E497)</f>
        <v>USA</v>
      </c>
      <c r="N497" t="e" cm="1" vm="1">
        <f t="array" ref="N497">_xlfn.REGEXEXTRACT(F497,"\d{5}")</f>
        <v>#N/A</v>
      </c>
    </row>
    <row r="498" spans="1:14" ht="60" x14ac:dyDescent="0.15">
      <c r="A498" s="2" t="s">
        <v>1161</v>
      </c>
      <c r="B498" s="2" t="s">
        <v>1162</v>
      </c>
      <c r="C498" s="2"/>
      <c r="D498" s="2"/>
      <c r="E498" s="2"/>
      <c r="F498" s="2"/>
      <c r="G498" s="2"/>
      <c r="H498" s="2"/>
      <c r="I498" s="2" t="str">
        <f>TRIM(CLEAN(SUBSTITUTE(A498,CHAR(10)," ")))</f>
        <v>Makan Halal Cuisine</v>
      </c>
      <c r="J498" s="2" t="str">
        <f>TRIM(_xlfn.REGEXREPLACE(B498,",\s*[^,]+,\s*[A-Za-z]{2}\s*\d{5}",""))</f>
        <v>7959 Fredericksburg Rd #215</v>
      </c>
      <c r="K498" s="10" t="s">
        <v>1260</v>
      </c>
      <c r="L498" s="8" t="s">
        <v>20</v>
      </c>
      <c r="M498">
        <f>IF(OR(UPPER(E498)="UNITED STATES",UPPER(E498)="UNITED STATES OF AMERICA",UPPER(E498)="US",UPPER(E498)="USA"),"USA",E498)</f>
        <v>0</v>
      </c>
      <c r="N498" t="e" cm="1" vm="1">
        <f t="array" ref="N498">_xlfn.REGEXEXTRACT(F498,"\d{5}")</f>
        <v>#N/A</v>
      </c>
    </row>
    <row r="499" spans="1:14" ht="60" x14ac:dyDescent="0.15">
      <c r="A499" s="2" t="s">
        <v>1171</v>
      </c>
      <c r="B499" s="2" t="s">
        <v>1172</v>
      </c>
      <c r="C499" s="2"/>
      <c r="D499" s="2"/>
      <c r="E499" s="2"/>
      <c r="F499" s="2"/>
      <c r="G499" s="2"/>
      <c r="H499" s="2"/>
      <c r="I499" s="2" t="str">
        <f>TRIM(CLEAN(SUBSTITUTE(A499,CHAR(10)," ")))</f>
        <v>Massaya Mediterranean Cuisine and Hookah</v>
      </c>
      <c r="J499" s="2" t="str">
        <f>TRIM(_xlfn.REGEXREPLACE(B499,",\s*[^,]+,\s*[A-Za-z]{2}\s*\d{5}",""))</f>
        <v>8383 Westheimer Rd Suite112</v>
      </c>
      <c r="K499" s="10" t="s">
        <v>29</v>
      </c>
      <c r="L499" s="8" t="s">
        <v>20</v>
      </c>
      <c r="M499">
        <f>IF(OR(UPPER(E499)="UNITED STATES",UPPER(E499)="UNITED STATES OF AMERICA",UPPER(E499)="US",UPPER(E499)="USA"),"USA",E499)</f>
        <v>0</v>
      </c>
      <c r="N499" t="e" cm="1" vm="1">
        <f t="array" ref="N499">_xlfn.REGEXEXTRACT(F499,"\d{5}")</f>
        <v>#N/A</v>
      </c>
    </row>
    <row r="500" spans="1:14" ht="48" x14ac:dyDescent="0.15">
      <c r="A500" s="2" t="s">
        <v>163</v>
      </c>
      <c r="B500" s="2" t="s">
        <v>164</v>
      </c>
      <c r="C500" s="2"/>
      <c r="D500" s="2"/>
      <c r="E500" s="2"/>
      <c r="F500" s="2"/>
      <c r="G500" s="2"/>
      <c r="H500" s="2"/>
      <c r="I500" s="2" t="str">
        <f>TRIM(CLEAN(SUBSTITUTE(A500,CHAR(10)," ")))</f>
        <v>Cibo Cucina Italiana</v>
      </c>
      <c r="J500" s="2" t="str">
        <f>TRIM(_xlfn.REGEXREPLACE(B500,",\s*[^,]+,\s*[A-Za-z]{2}\s*\d{5}",""))</f>
        <v>8408 Preston Rd Suite 332</v>
      </c>
      <c r="K500" s="10" t="s">
        <v>230</v>
      </c>
      <c r="L500" s="8" t="s">
        <v>20</v>
      </c>
      <c r="M500">
        <f>IF(OR(UPPER(E500)="UNITED STATES",UPPER(E500)="UNITED STATES OF AMERICA",UPPER(E500)="US",UPPER(E500)="USA"),"USA",E500)</f>
        <v>0</v>
      </c>
      <c r="N500" t="e" cm="1" vm="1">
        <f t="array" ref="N500">_xlfn.REGEXEXTRACT(F500,"\d{5}")</f>
        <v>#N/A</v>
      </c>
    </row>
    <row r="501" spans="1:14" ht="60" x14ac:dyDescent="0.15">
      <c r="A501" s="2" t="s">
        <v>1350</v>
      </c>
      <c r="B501" s="2" t="s">
        <v>1351</v>
      </c>
      <c r="C501" s="2"/>
      <c r="D501" s="2"/>
      <c r="E501" s="2"/>
      <c r="F501" s="2"/>
      <c r="G501" s="2"/>
      <c r="H501" s="2"/>
      <c r="I501" s="2" t="str">
        <f>TRIM(CLEAN(SUBSTITUTE(A501,CHAR(10)," ")))</f>
        <v>Shibam Coffee</v>
      </c>
      <c r="J501" s="2" t="str">
        <f>TRIM(_xlfn.REGEXREPLACE(B501,",\s*[^,]+,\s*[A-Za-z]{2}\s*\d{5}",""))</f>
        <v>850 S Greenville Ave #105</v>
      </c>
      <c r="K501" s="10" t="s">
        <v>207</v>
      </c>
      <c r="L501" s="8" t="s">
        <v>20</v>
      </c>
      <c r="M501">
        <f>IF(OR(UPPER(E501)="UNITED STATES",UPPER(E501)="UNITED STATES OF AMERICA",UPPER(E501)="US",UPPER(E501)="USA"),"USA",E501)</f>
        <v>0</v>
      </c>
      <c r="N501" t="e" cm="1" vm="1">
        <f t="array" ref="N501">_xlfn.REGEXEXTRACT(F501,"\d{5}")</f>
        <v>#N/A</v>
      </c>
    </row>
    <row r="502" spans="1:14" ht="72" x14ac:dyDescent="0.15">
      <c r="A502" s="2" t="s">
        <v>645</v>
      </c>
      <c r="B502" s="2" t="s">
        <v>646</v>
      </c>
      <c r="C502" s="2"/>
      <c r="D502" s="2"/>
      <c r="E502" s="2" t="s">
        <v>10</v>
      </c>
      <c r="F502" s="2"/>
      <c r="G502" s="2"/>
      <c r="H502" s="2"/>
      <c r="I502" s="2" t="str">
        <f>TRIM(CLEAN(SUBSTITUTE(A502,CHAR(10)," ")))</f>
        <v>Ya Hala Pizza</v>
      </c>
      <c r="J502" s="2" t="str">
        <f>TRIM(_xlfn.REGEXREPLACE(B502,",\s*[^,]+,\s*[A-Za-z]{2}\s*\d{5}",""))</f>
        <v>8650 Meadowbrook Blvd suite 100</v>
      </c>
      <c r="K502" s="10" t="s">
        <v>199</v>
      </c>
      <c r="L502" s="8" t="s">
        <v>20</v>
      </c>
      <c r="M502" t="str">
        <f>IF(OR(UPPER(E502)="UNITED STATES",UPPER(E502)="UNITED STATES OF AMERICA",UPPER(E502)="US",UPPER(E502)="USA"),"USA",E502)</f>
        <v>USA</v>
      </c>
      <c r="N502" t="e" cm="1" vm="1">
        <f t="array" ref="N502">_xlfn.REGEXEXTRACT(F502,"\d{5}")</f>
        <v>#N/A</v>
      </c>
    </row>
    <row r="503" spans="1:14" ht="48" x14ac:dyDescent="0.15">
      <c r="A503" s="2" t="s">
        <v>845</v>
      </c>
      <c r="B503" s="2" t="s">
        <v>846</v>
      </c>
      <c r="C503" s="2"/>
      <c r="D503" s="2"/>
      <c r="E503" s="2"/>
      <c r="F503" s="2"/>
      <c r="G503" s="2"/>
      <c r="H503" s="2"/>
      <c r="I503" s="2" t="str">
        <f>TRIM(CLEAN(SUBSTITUTE(A503,CHAR(10)," ")))</f>
        <v>Raindrop Turkish House</v>
      </c>
      <c r="J503" s="2" t="str">
        <f>TRIM(_xlfn.REGEXREPLACE(B503,",\s*[^,]+,\s*[A-Za-z]{2}\s*\d{5}",""))</f>
        <v>9301 W Bellfort Blvd</v>
      </c>
      <c r="K503" s="10" t="s">
        <v>29</v>
      </c>
      <c r="L503" s="8" t="s">
        <v>20</v>
      </c>
      <c r="M503">
        <f>IF(OR(UPPER(E503)="UNITED STATES",UPPER(E503)="UNITED STATES OF AMERICA",UPPER(E503)="US",UPPER(E503)="USA"),"USA",E503)</f>
        <v>0</v>
      </c>
      <c r="N503" t="e" cm="1" vm="1">
        <f t="array" ref="N503">_xlfn.REGEXEXTRACT(F503,"\d{5}")</f>
        <v>#N/A</v>
      </c>
    </row>
    <row r="504" spans="1:14" ht="48" x14ac:dyDescent="0.15">
      <c r="A504" s="2" t="s">
        <v>590</v>
      </c>
      <c r="B504" s="2" t="s">
        <v>591</v>
      </c>
      <c r="C504" s="2"/>
      <c r="D504" s="2"/>
      <c r="E504" s="2" t="s">
        <v>10</v>
      </c>
      <c r="F504" s="2"/>
      <c r="G504" s="2"/>
      <c r="H504" s="2"/>
      <c r="I504" s="2" t="str">
        <f>TRIM(CLEAN(SUBSTITUTE(A504,CHAR(10)," ")))</f>
        <v>Shahrzad Mediterranean Market &amp; Grill</v>
      </c>
      <c r="J504" s="2" t="str">
        <f>TRIM(_xlfn.REGEXREPLACE(B504,",\s*[^,]+,\s*[A-Za-z]{2}\s*\d{5}",""))</f>
        <v>970 N Coit Rd #3025</v>
      </c>
      <c r="K504" s="10" t="s">
        <v>207</v>
      </c>
      <c r="L504" s="8" t="s">
        <v>20</v>
      </c>
      <c r="M504" t="str">
        <f>IF(OR(UPPER(E504)="UNITED STATES",UPPER(E504)="UNITED STATES OF AMERICA",UPPER(E504)="US",UPPER(E504)="USA"),"USA",E504)</f>
        <v>USA</v>
      </c>
      <c r="N504" t="e" cm="1" vm="1">
        <f t="array" ref="N504">_xlfn.REGEXEXTRACT(F504,"\d{5}")</f>
        <v>#N/A</v>
      </c>
    </row>
    <row r="505" spans="1:14" ht="48" x14ac:dyDescent="0.15">
      <c r="A505" s="2" t="s">
        <v>598</v>
      </c>
      <c r="B505" s="2" t="s">
        <v>599</v>
      </c>
      <c r="C505" s="2"/>
      <c r="D505" s="2"/>
      <c r="E505" s="2" t="s">
        <v>10</v>
      </c>
      <c r="F505" s="2"/>
      <c r="G505" s="2"/>
      <c r="H505" s="2"/>
      <c r="I505" s="2" t="str">
        <f>TRIM(CLEAN(SUBSTITUTE(A505,CHAR(10)," ")))</f>
        <v>Shibam Coffee Co.</v>
      </c>
      <c r="J505" s="2" t="str">
        <f>TRIM(_xlfn.REGEXREPLACE(B505,",\s*[^,]+,\s*[A-Za-z]{2}\s*\d{5}",""))</f>
        <v>977 E Apache Blvd Suite 101 Tempe, AZ 85281</v>
      </c>
      <c r="K505" s="10" t="s">
        <v>1406</v>
      </c>
      <c r="L505" s="8" t="s">
        <v>1363</v>
      </c>
      <c r="M505" t="str">
        <f>IF(OR(UPPER(E505)="UNITED STATES",UPPER(E505)="UNITED STATES OF AMERICA",UPPER(E505)="US",UPPER(E505)="USA"),"USA",E505)</f>
        <v>USA</v>
      </c>
      <c r="N505" t="e" cm="1" vm="1">
        <f t="array" ref="N505">_xlfn.REGEXEXTRACT(F505,"\d{5}")</f>
        <v>#N/A</v>
      </c>
    </row>
    <row r="506" spans="1:14" ht="48" x14ac:dyDescent="0.15">
      <c r="A506" s="2" t="s">
        <v>1341</v>
      </c>
      <c r="B506" s="2" t="s">
        <v>1342</v>
      </c>
      <c r="C506" s="2"/>
      <c r="D506" s="2"/>
      <c r="E506" s="2"/>
      <c r="F506" s="2"/>
      <c r="G506" s="2"/>
      <c r="H506" s="2"/>
      <c r="I506" s="2" t="str">
        <f>TRIM(CLEAN(SUBSTITUTE(A506,CHAR(10)," ")))</f>
        <v>Sevin Mediterranean Kitchen</v>
      </c>
      <c r="J506" s="2" t="str">
        <f>TRIM(_xlfn.REGEXREPLACE(B506,",\s*[^,]+,\s*[A-Za-z]{2}\s*\d{5}",""))</f>
        <v>9955 Frontage Rd</v>
      </c>
      <c r="K506" s="10" t="s">
        <v>1260</v>
      </c>
      <c r="L506" s="8" t="s">
        <v>20</v>
      </c>
      <c r="M506">
        <f>IF(OR(UPPER(E506)="UNITED STATES",UPPER(E506)="UNITED STATES OF AMERICA",UPPER(E506)="US",UPPER(E506)="USA"),"USA",E506)</f>
        <v>0</v>
      </c>
      <c r="N506" t="e" cm="1" vm="1">
        <f t="array" ref="N506">_xlfn.REGEXEXTRACT(F506,"\d{5}")</f>
        <v>#N/A</v>
      </c>
    </row>
    <row r="507" spans="1:14" ht="60" x14ac:dyDescent="0.15">
      <c r="A507" s="2" t="s">
        <v>468</v>
      </c>
      <c r="B507" s="2" t="s">
        <v>469</v>
      </c>
      <c r="C507" s="2"/>
      <c r="D507" s="2"/>
      <c r="E507" s="2" t="s">
        <v>10</v>
      </c>
      <c r="F507" s="2"/>
      <c r="G507" s="2"/>
      <c r="H507" s="2"/>
      <c r="I507" s="2" t="str">
        <f>TRIM(CLEAN(SUBSTITUTE(A507,CHAR(10)," ")))</f>
        <v>Indopak Supermarket, Lewisville</v>
      </c>
      <c r="J507" s="2" t="str">
        <f>TRIM(_xlfn.REGEXREPLACE(B507,",\s*[^,]+,\s*[A-Za-z]{2}\s*\d{5}",""))</f>
        <v>Adres: 297 W Round Grove Rd</v>
      </c>
      <c r="K507" s="10" t="s">
        <v>412</v>
      </c>
      <c r="L507" s="8" t="s">
        <v>20</v>
      </c>
      <c r="M507" t="str">
        <f>IF(OR(UPPER(E507)="UNITED STATES",UPPER(E507)="UNITED STATES OF AMERICA",UPPER(E507)="US",UPPER(E507)="USA"),"USA",E507)</f>
        <v>USA</v>
      </c>
      <c r="N507" t="e" cm="1" vm="1">
        <f t="array" ref="N507">_xlfn.REGEXEXTRACT(F507,"\d{5}")</f>
        <v>#N/A</v>
      </c>
    </row>
    <row r="508" spans="1:14" ht="48" x14ac:dyDescent="0.15">
      <c r="A508" s="2" t="s">
        <v>972</v>
      </c>
      <c r="B508" s="2" t="s">
        <v>973</v>
      </c>
      <c r="C508" s="2"/>
      <c r="D508" s="2"/>
      <c r="E508" s="2"/>
      <c r="F508" s="2"/>
      <c r="G508" s="2"/>
      <c r="H508" s="2"/>
      <c r="I508" s="2" t="str">
        <f>TRIM(CLEAN(SUBSTITUTE(A508,CHAR(10)," ")))</f>
        <v>Hadramout</v>
      </c>
      <c r="J508" s="2" t="str">
        <f>TRIM(_xlfn.REGEXREPLACE(B508,",\s*[^,]+,\s*[A-Za-z]{2}\s*\d{5}",""))</f>
        <v>Adres: 3758 S Gessner Rd</v>
      </c>
      <c r="K508" s="10" t="s">
        <v>29</v>
      </c>
      <c r="L508" s="8" t="s">
        <v>20</v>
      </c>
      <c r="M508">
        <f>IF(OR(UPPER(E508)="UNITED STATES",UPPER(E508)="UNITED STATES OF AMERICA",UPPER(E508)="US",UPPER(E508)="USA"),"USA",E508)</f>
        <v>0</v>
      </c>
      <c r="N508" t="e" cm="1" vm="1">
        <f t="array" ref="N508">_xlfn.REGEXEXTRACT(F508,"\d{5}")</f>
        <v>#N/A</v>
      </c>
    </row>
    <row r="509" spans="1:14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3"/>
    </row>
    <row r="510" spans="1:14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3"/>
    </row>
    <row r="511" spans="1:14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3"/>
    </row>
    <row r="512" spans="1:14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3"/>
    </row>
    <row r="513" spans="1:14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3"/>
    </row>
    <row r="514" spans="1:14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3"/>
    </row>
    <row r="515" spans="1:14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3"/>
    </row>
    <row r="516" spans="1:14" ht="60" x14ac:dyDescent="0.15">
      <c r="A516" s="2" t="s">
        <v>1221</v>
      </c>
      <c r="B516" s="2" t="s">
        <v>1222</v>
      </c>
      <c r="C516" s="2"/>
      <c r="D516" s="2"/>
      <c r="E516" s="2"/>
      <c r="F516" s="2"/>
      <c r="G516" s="2"/>
      <c r="H516" s="2"/>
      <c r="I516" s="2" t="str">
        <f>TRIM(CLEAN(SUBSTITUTE(A516,CHAR(10)," ")))</f>
        <v>Patel Brothers</v>
      </c>
      <c r="J516" s="2" t="str">
        <f>TRIM(_xlfn.REGEXREPLACE(B516,",\s*[^,]+,\s*[A-Za-z]{2}\s*\d{5}",""))</f>
        <v>MacArthur Marketplace, 8150 Walton Blvd</v>
      </c>
      <c r="K516" s="10" t="s">
        <v>177</v>
      </c>
      <c r="L516" s="8" t="s">
        <v>20</v>
      </c>
      <c r="M516">
        <f>IF(OR(UPPER(E516)="UNITED STATES",UPPER(E516)="UNITED STATES OF AMERICA",UPPER(E516)="US",UPPER(E516)="USA"),"USA",E516)</f>
        <v>0</v>
      </c>
      <c r="N516" t="e" cm="1" vm="1">
        <f t="array" ref="N516">_xlfn.REGEXEXTRACT(F516,"\d{5}")</f>
        <v>#N/A</v>
      </c>
    </row>
    <row r="517" spans="1:14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3"/>
    </row>
    <row r="518" spans="1:14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3"/>
    </row>
    <row r="519" spans="1:14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3"/>
    </row>
    <row r="520" spans="1:14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3"/>
    </row>
    <row r="521" spans="1:14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3"/>
    </row>
    <row r="522" spans="1:14" x14ac:dyDescent="0.15">
      <c r="A522" s="2"/>
      <c r="B522" s="2"/>
      <c r="C522" s="2"/>
      <c r="D522" s="2"/>
      <c r="E522" s="2"/>
      <c r="F522" s="2"/>
      <c r="G522" s="2"/>
      <c r="H522" s="2"/>
      <c r="I522" s="2" t="str">
        <f t="shared" ref="I515:J528" si="0">TRIM(CLEAN(SUBSTITUTE(A522,CHAR(10)," ")))</f>
        <v/>
      </c>
      <c r="J522" s="2"/>
      <c r="K522" s="3"/>
    </row>
    <row r="523" spans="1:14" x14ac:dyDescent="0.15">
      <c r="A523" s="2"/>
      <c r="B523" s="2"/>
      <c r="C523" s="2"/>
      <c r="D523" s="2"/>
      <c r="E523" s="2"/>
      <c r="F523" s="2"/>
      <c r="G523" s="2"/>
      <c r="H523" s="2"/>
      <c r="I523" s="2" t="str">
        <f t="shared" si="0"/>
        <v/>
      </c>
      <c r="J523" s="2"/>
      <c r="K523" s="3"/>
    </row>
    <row r="524" spans="1:14" x14ac:dyDescent="0.15">
      <c r="A524" s="2"/>
      <c r="B524" s="2"/>
      <c r="C524" s="2"/>
      <c r="D524" s="2"/>
      <c r="E524" s="2"/>
      <c r="F524" s="2"/>
      <c r="G524" s="2"/>
      <c r="H524" s="2"/>
      <c r="I524" s="2" t="str">
        <f t="shared" si="0"/>
        <v/>
      </c>
      <c r="J524" s="2"/>
      <c r="K524" s="3"/>
    </row>
    <row r="525" spans="1:14" x14ac:dyDescent="0.15">
      <c r="A525" s="2"/>
      <c r="B525" s="2"/>
      <c r="C525" s="2"/>
      <c r="D525" s="2"/>
      <c r="E525" s="2"/>
      <c r="F525" s="2"/>
      <c r="G525" s="2"/>
      <c r="H525" s="2"/>
      <c r="I525" s="2" t="str">
        <f t="shared" si="0"/>
        <v/>
      </c>
      <c r="J525" s="2"/>
      <c r="K525" s="3"/>
    </row>
    <row r="526" spans="1:14" x14ac:dyDescent="0.15">
      <c r="A526" s="2"/>
      <c r="B526" s="2"/>
      <c r="C526" s="2"/>
      <c r="D526" s="2"/>
      <c r="E526" s="2"/>
      <c r="F526" s="2"/>
      <c r="G526" s="2"/>
      <c r="H526" s="2"/>
      <c r="I526" s="2" t="str">
        <f t="shared" si="0"/>
        <v/>
      </c>
      <c r="J526" s="2"/>
      <c r="K526" s="3"/>
    </row>
    <row r="527" spans="1:14" x14ac:dyDescent="0.15">
      <c r="A527" s="2"/>
      <c r="B527" s="2"/>
      <c r="C527" s="2"/>
      <c r="D527" s="2"/>
      <c r="E527" s="2"/>
      <c r="F527" s="2"/>
      <c r="G527" s="2"/>
      <c r="H527" s="2"/>
      <c r="I527" s="2" t="str">
        <f t="shared" si="0"/>
        <v/>
      </c>
      <c r="J527" s="2"/>
      <c r="K527" s="3"/>
    </row>
    <row r="528" spans="1:14" x14ac:dyDescent="0.15">
      <c r="A528" s="2"/>
      <c r="B528" s="2"/>
      <c r="C528" s="2"/>
      <c r="D528" s="2"/>
      <c r="E528" s="2"/>
      <c r="F528" s="2"/>
      <c r="G528" s="2"/>
      <c r="H528" s="2"/>
      <c r="I528" s="2" t="str">
        <f t="shared" si="0"/>
        <v/>
      </c>
      <c r="J528" s="2"/>
      <c r="K528" s="3"/>
    </row>
    <row r="529" spans="1:11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3"/>
    </row>
    <row r="530" spans="1:11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3"/>
    </row>
    <row r="531" spans="1:11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3"/>
    </row>
    <row r="532" spans="1:11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3"/>
    </row>
    <row r="533" spans="1:11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3"/>
    </row>
    <row r="534" spans="1:11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3"/>
    </row>
    <row r="535" spans="1:11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3"/>
    </row>
    <row r="536" spans="1:11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3"/>
    </row>
    <row r="537" spans="1:11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3"/>
    </row>
    <row r="538" spans="1:11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3"/>
    </row>
    <row r="539" spans="1:11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3"/>
    </row>
    <row r="540" spans="1:11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3"/>
    </row>
    <row r="541" spans="1:11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3"/>
    </row>
    <row r="542" spans="1:11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3"/>
    </row>
    <row r="543" spans="1:11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3"/>
    </row>
    <row r="544" spans="1:11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3"/>
    </row>
    <row r="545" spans="1:11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3"/>
    </row>
    <row r="546" spans="1:11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3"/>
    </row>
    <row r="547" spans="1:11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3"/>
    </row>
    <row r="548" spans="1:11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3"/>
    </row>
    <row r="549" spans="1:11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3"/>
    </row>
    <row r="550" spans="1:11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3"/>
    </row>
    <row r="551" spans="1:11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3"/>
    </row>
    <row r="552" spans="1:11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3"/>
    </row>
    <row r="553" spans="1:11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3"/>
    </row>
    <row r="554" spans="1:11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3"/>
    </row>
    <row r="555" spans="1:11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3"/>
    </row>
    <row r="556" spans="1:11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3"/>
    </row>
    <row r="557" spans="1:11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3"/>
    </row>
    <row r="558" spans="1:11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3"/>
    </row>
    <row r="559" spans="1:11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3"/>
    </row>
    <row r="560" spans="1:11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3"/>
    </row>
    <row r="561" spans="1:11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3"/>
    </row>
    <row r="562" spans="1:11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3"/>
    </row>
    <row r="563" spans="1:11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3"/>
    </row>
    <row r="564" spans="1:11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3"/>
    </row>
    <row r="565" spans="1:11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3"/>
    </row>
    <row r="566" spans="1:11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3"/>
    </row>
    <row r="567" spans="1:11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3"/>
    </row>
    <row r="568" spans="1:11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3"/>
    </row>
    <row r="569" spans="1:11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3"/>
    </row>
    <row r="570" spans="1:11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3"/>
    </row>
    <row r="571" spans="1:11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3"/>
    </row>
    <row r="572" spans="1:11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3"/>
    </row>
    <row r="573" spans="1:11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3"/>
    </row>
    <row r="574" spans="1:11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3"/>
    </row>
    <row r="575" spans="1:11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3"/>
    </row>
    <row r="576" spans="1:11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3"/>
    </row>
    <row r="577" spans="1:11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3"/>
    </row>
    <row r="578" spans="1:11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3"/>
    </row>
    <row r="579" spans="1:11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3"/>
    </row>
    <row r="580" spans="1:11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3"/>
    </row>
    <row r="581" spans="1:11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3"/>
    </row>
    <row r="582" spans="1:11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3"/>
    </row>
    <row r="583" spans="1:11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3"/>
    </row>
    <row r="584" spans="1:11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3"/>
    </row>
    <row r="585" spans="1:11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3"/>
    </row>
    <row r="586" spans="1:11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3"/>
    </row>
    <row r="587" spans="1:11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3"/>
    </row>
    <row r="588" spans="1:11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3"/>
    </row>
    <row r="589" spans="1:11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3"/>
    </row>
    <row r="590" spans="1:11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3"/>
    </row>
    <row r="591" spans="1:11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3"/>
    </row>
    <row r="592" spans="1:11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3"/>
    </row>
    <row r="593" spans="1:11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3"/>
    </row>
    <row r="594" spans="1:11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3"/>
    </row>
    <row r="595" spans="1:11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3"/>
    </row>
    <row r="596" spans="1:11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3"/>
    </row>
    <row r="597" spans="1:11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3"/>
    </row>
    <row r="598" spans="1:11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3"/>
    </row>
    <row r="599" spans="1:11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3"/>
    </row>
  </sheetData>
  <autoFilter ref="A1:F599" xr:uid="{6AFF9C2E-9265-9C48-BE0C-09538A2F9A1C}">
    <sortState xmlns:xlrd2="http://schemas.microsoft.com/office/spreadsheetml/2017/richdata2" ref="A2:F599">
      <sortCondition ref="C1:C599"/>
    </sortState>
  </autoFilter>
  <pageMargins left="0.75" right="0.75" top="1" bottom="1" header="0.5" footer="0.5"/>
  <pageSetup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F5D49-7037-2E4B-B785-6CADA309EAFD}">
  <dimension ref="A1"/>
  <sheetViews>
    <sheetView topLeftCell="A7" workbookViewId="0">
      <selection sqref="A1:F516"/>
    </sheetView>
  </sheetViews>
  <sheetFormatPr baseColWidth="10" defaultRowHeight="13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Maksatbek Yrysbaev</cp:lastModifiedBy>
  <dcterms:created xsi:type="dcterms:W3CDTF">2026-02-20T16:50:50Z</dcterms:created>
  <dcterms:modified xsi:type="dcterms:W3CDTF">2026-02-20T16:50:50Z</dcterms:modified>
</cp:coreProperties>
</file>